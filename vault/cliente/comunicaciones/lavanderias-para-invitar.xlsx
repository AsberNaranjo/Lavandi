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Proyectos\nsv-lavanderia\vault\cliente\comunicaciones\"/>
    </mc:Choice>
  </mc:AlternateContent>
  <xr:revisionPtr revIDLastSave="0" documentId="13_ncr:1_{2D2E45F8-12C0-4CE1-9F45-9EA086E7E209}" xr6:coauthVersionLast="41" xr6:coauthVersionMax="41" xr10:uidLastSave="{00000000-0000-0000-0000-000000000000}"/>
  <bookViews>
    <workbookView xWindow="1152" yWindow="1152" windowWidth="17280" windowHeight="8880" xr2:uid="{00000000-000D-0000-FFFF-FFFF00000000}"/>
  </bookViews>
  <sheets>
    <sheet name="Resumen" sheetId="1" r:id="rId1"/>
    <sheet name="Para llamar" sheetId="2" r:id="rId2"/>
    <sheet name="Para visitar" sheetId="3" r:id="rId3"/>
  </sheets>
  <definedNames>
    <definedName name="_xlnm._FilterDatabase" localSheetId="1" hidden="1">'Para llamar'!$A$1:$J$231</definedName>
    <definedName name="_xlnm._FilterDatabase" localSheetId="2" hidden="1">'Para visitar'!$A$1:$I$186</definedName>
    <definedName name="Print_Titles" localSheetId="1">'Para llamar'!$1:$1</definedName>
    <definedName name="Print_Titles" localSheetId="2">'Para visitar'!$1:$1</definedName>
  </definedNames>
  <calcPr calcId="191029"/>
</workbook>
</file>

<file path=xl/calcChain.xml><?xml version="1.0" encoding="utf-8"?>
<calcChain xmlns="http://schemas.openxmlformats.org/spreadsheetml/2006/main">
  <c r="E13" i="1" l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E14" i="1" s="1"/>
  <c r="D9" i="1"/>
  <c r="D14" i="1" s="1"/>
  <c r="C9" i="1"/>
  <c r="C14" i="1" s="1"/>
  <c r="B9" i="1"/>
  <c r="B14" i="1" s="1"/>
  <c r="C4" i="1"/>
  <c r="A4" i="1"/>
</calcChain>
</file>

<file path=xl/sharedStrings.xml><?xml version="1.0" encoding="utf-8"?>
<sst xmlns="http://schemas.openxmlformats.org/spreadsheetml/2006/main" count="2405" uniqueCount="1097">
  <si>
    <t>Lavanderías para invitar a Lavandi</t>
  </si>
  <si>
    <t>Estado de Durango, Torreón y Matamoros  ·  Preparado por Nazmelia</t>
  </si>
  <si>
    <t>7 de cada 10</t>
  </si>
  <si>
    <t>lavanderías en la zona</t>
  </si>
  <si>
    <t>con teléfono, listas para llamar</t>
  </si>
  <si>
    <t>están en Durango capital y Torreón</t>
  </si>
  <si>
    <t>Por zona</t>
  </si>
  <si>
    <t>Zona</t>
  </si>
  <si>
    <t>Lavanderías</t>
  </si>
  <si>
    <t>Para llamar</t>
  </si>
  <si>
    <t>Contactadas</t>
  </si>
  <si>
    <t>Interesadas</t>
  </si>
  <si>
    <t>Durango capital</t>
  </si>
  <si>
    <t>Gómez Palacio y Lerdo</t>
  </si>
  <si>
    <t>Torreón</t>
  </si>
  <si>
    <t>Matamoros</t>
  </si>
  <si>
    <t>Resto del estado de Durango</t>
  </si>
  <si>
    <t>Total</t>
  </si>
  <si>
    <t>Cómo usarlo</t>
  </si>
  <si>
    <t>1.  Empiece por la hoja «Para llamar»: cada renglón es una lavandería con su teléfono.</t>
  </si>
  <si>
    <t>2.  Después de cada llamada, llene las tres columnas amarillas: si ya se le contactó, el resultado y una nota.</t>
  </si>
  <si>
    <t>3.  La hoja «Para visitar» trae las que no tienen teléfono: con «Ver mapa» se llega a la puerta.</t>
  </si>
  <si>
    <t>4.  Este resumen se actualiza solo con lo que se anote.</t>
  </si>
  <si>
    <t>Datos tomados del registro oficial de negocios del INEGI. Algún teléfono o dirección puede haber cambiado.</t>
  </si>
  <si>
    <t>Municipio</t>
  </si>
  <si>
    <t>Lavandería</t>
  </si>
  <si>
    <t>Teléfono</t>
  </si>
  <si>
    <t>Dirección</t>
  </si>
  <si>
    <t>Correo o página</t>
  </si>
  <si>
    <t>Ubicación</t>
  </si>
  <si>
    <t>¿Ya se le contactó?</t>
  </si>
  <si>
    <t>Resultado</t>
  </si>
  <si>
    <t>Notas</t>
  </si>
  <si>
    <t>Durango</t>
  </si>
  <si>
    <t>Centro de Lavandería y Planchaduría</t>
  </si>
  <si>
    <t>618 131 6733</t>
  </si>
  <si>
    <t>Avenida Cuauhtemoc 608, Fraccionamiento Huizache I</t>
  </si>
  <si>
    <t>Ver mapa</t>
  </si>
  <si>
    <t>Ciclos Planchado</t>
  </si>
  <si>
    <t>552 726 7858</t>
  </si>
  <si>
    <t>Calle 5 de Febrero 1502 a, Colonia Burócrata</t>
  </si>
  <si>
    <t>barrazamontse966@gmail.com</t>
  </si>
  <si>
    <t>Klin Lavandería</t>
  </si>
  <si>
    <t>618 310 2020</t>
  </si>
  <si>
    <t>Boulevard Instituto Politecnico Nacional Sin Número, Fraccionamiento Camino Real</t>
  </si>
  <si>
    <t>www.klino.mx</t>
  </si>
  <si>
    <t>Klino Lavanderías</t>
  </si>
  <si>
    <t>Boulevard de la Juventud Sin Número, Colonia Luis Echeverría</t>
  </si>
  <si>
    <t>Lava Facil Lavandería</t>
  </si>
  <si>
    <t>618 231 9152</t>
  </si>
  <si>
    <t>Circuito Palenque 308, Fraccionamiento Huizache I</t>
  </si>
  <si>
    <t>Lava Nubes</t>
  </si>
  <si>
    <t>618 819 2093</t>
  </si>
  <si>
    <t>Avenida Resplandor 200 C, Fraccionamiento las Nubes</t>
  </si>
  <si>
    <t>Lava Planch</t>
  </si>
  <si>
    <t>618 211 4235</t>
  </si>
  <si>
    <t>Circuito Chamula 734 B, Fraccionamiento Huizache I</t>
  </si>
  <si>
    <t>Lavandería Alexjos</t>
  </si>
  <si>
    <t>618 230 9042</t>
  </si>
  <si>
    <t>Boulevard Jose Maria Patoni 406, Colonia José Revueltas</t>
  </si>
  <si>
    <t>Lavandería Alicia</t>
  </si>
  <si>
    <t>618 257 8082</t>
  </si>
  <si>
    <t>Avenida Coronel Enrique Carrola Antuna 1203 B, Colonia J. Guadalupe Rodríguez</t>
  </si>
  <si>
    <t>Lavandería Arcoiris</t>
  </si>
  <si>
    <t>618 256 0481</t>
  </si>
  <si>
    <t>Boulevard Domingo Arrieta 511 C, Colonia Juan Lira Bracho</t>
  </si>
  <si>
    <t>erendy_86@hotmail.com</t>
  </si>
  <si>
    <t>Lavandería Color Magic</t>
  </si>
  <si>
    <t>618 292 7930</t>
  </si>
  <si>
    <t>Calle Orion 1002, Fraccionamiento Villas del Guadiana III</t>
  </si>
  <si>
    <t>Lavandería Dereck</t>
  </si>
  <si>
    <t>677 119 8584</t>
  </si>
  <si>
    <t>Calle del Atardecer 132, Fraccionamiento la Luz</t>
  </si>
  <si>
    <t>Lavandería el Nogal</t>
  </si>
  <si>
    <t>618 366 2704</t>
  </si>
  <si>
    <t>Calle Francisco Gonzalez de la Vega 105, Colonia IV Centenario</t>
  </si>
  <si>
    <t>Lavandería Grecia</t>
  </si>
  <si>
    <t>618 815 8320</t>
  </si>
  <si>
    <t>Calle Capricornio 316 a, Fraccionamiento Villas del Guadiana</t>
  </si>
  <si>
    <t>Lavandería GYYS</t>
  </si>
  <si>
    <t>618 154 4243</t>
  </si>
  <si>
    <t>Boulevard de la Juventud 711, Colonia Santa Fe</t>
  </si>
  <si>
    <t>Lavandería Independencia</t>
  </si>
  <si>
    <t>618 132 2297</t>
  </si>
  <si>
    <t>Calle Independencia 438, Colonia Zona Centro</t>
  </si>
  <si>
    <t>Lavandería Jessy</t>
  </si>
  <si>
    <t>664 302 1715</t>
  </si>
  <si>
    <t>Calle Santiago Papasquiaro Sin Número, Colonia Hipódromo</t>
  </si>
  <si>
    <t>Lavandería la Burbuja</t>
  </si>
  <si>
    <t>618 196 8435</t>
  </si>
  <si>
    <t>Calle Circuito Interior Sin Número, Fraccionamiento Residencial Santa Teresa</t>
  </si>
  <si>
    <t>Lavandería la Burbuja Azul</t>
  </si>
  <si>
    <t>618 359 1004</t>
  </si>
  <si>
    <t>Calle Domingo Arrieta 403 B, Colonia Azteca</t>
  </si>
  <si>
    <t>Lavandería la Casa del Lavado</t>
  </si>
  <si>
    <t>618 188 3843</t>
  </si>
  <si>
    <t>Calle Joaquín García Pascoe 100, Fraccionamiento los Agaves</t>
  </si>
  <si>
    <t>Lavandería la Casita</t>
  </si>
  <si>
    <t>618 364 3946</t>
  </si>
  <si>
    <t>Avenida Constelaciones 208, Fraccionamiento Nuevo Valle</t>
  </si>
  <si>
    <t>Lavandería la Casita Express</t>
  </si>
  <si>
    <t>618 320 2693</t>
  </si>
  <si>
    <t>Avenida Cima 335, Fraccionamiento Fstse</t>
  </si>
  <si>
    <t>Lavandería la Colonial</t>
  </si>
  <si>
    <t>618 138 3761</t>
  </si>
  <si>
    <t>Calle Francisco I Madero 249, Colonia Zona Centro</t>
  </si>
  <si>
    <t>Lavandería la Espuma</t>
  </si>
  <si>
    <t>618 304 1394</t>
  </si>
  <si>
    <t>Calle Belisario Dominguez 522, Barrio Hernández</t>
  </si>
  <si>
    <t>Lavandería la Niña</t>
  </si>
  <si>
    <t>618 120 8123</t>
  </si>
  <si>
    <t>Avenida Jose Antonio Ramirez Sin Número, Fraccionamiento Fidel Velázquez</t>
  </si>
  <si>
    <t>Lavandería la Rapidita</t>
  </si>
  <si>
    <t>618 208 7388</t>
  </si>
  <si>
    <t>Avenida José Antonio Ramírez Martínez Sin Número, Fraccionamiento Jardines de San Antonio</t>
  </si>
  <si>
    <t>Lavandería Laundry Day</t>
  </si>
  <si>
    <t>618 131 4858</t>
  </si>
  <si>
    <t>Circuito Litio 118, Fraccionamiento Ciudad Industrial</t>
  </si>
  <si>
    <t>Lavandería Lava Mar</t>
  </si>
  <si>
    <t>618 332 6320</t>
  </si>
  <si>
    <t>Calle Providencia 132, Colonia Santa María</t>
  </si>
  <si>
    <t>Lavandería Lava Mass</t>
  </si>
  <si>
    <t>618 145 1494</t>
  </si>
  <si>
    <t>Avenida Fidel Velazquez Sanchez 213, Fraccionamiento las Nubes</t>
  </si>
  <si>
    <t>Lavandería Lava Plus</t>
  </si>
  <si>
    <t>618 259 0778</t>
  </si>
  <si>
    <t>Calle Providencia 612 a, Colonia Santa María</t>
  </si>
  <si>
    <t>Lavandería Lavafacil</t>
  </si>
  <si>
    <t>618 183 6722</t>
  </si>
  <si>
    <t>Calle Colima 900 D, Colonia Valle del Guadiana</t>
  </si>
  <si>
    <t>Lavandería Lavamass</t>
  </si>
  <si>
    <t>Avenida Plan de Agua Prieta Sin Número, Colonia Emiliano Zapata</t>
  </si>
  <si>
    <t>gabytavh@hotmail.com</t>
  </si>
  <si>
    <t>Lavandería Lavampac</t>
  </si>
  <si>
    <t>618 361 9245</t>
  </si>
  <si>
    <t>Avenida Fidel Velazquez Sanchez 226, Fraccionamiento Fidel Velázquez</t>
  </si>
  <si>
    <t>Lavandería Limpio y Seco</t>
  </si>
  <si>
    <t>618 333 0676</t>
  </si>
  <si>
    <t>Calle Predio de las Peñas Sin Número, Fraccionamiento Villas de San Francisco</t>
  </si>
  <si>
    <t>Lavandería Limpizimo</t>
  </si>
  <si>
    <t>618 100 7805</t>
  </si>
  <si>
    <t>Prolongacion Nazas 806 e, Colonia los Sauces</t>
  </si>
  <si>
    <t>jarib15@hotmail.com</t>
  </si>
  <si>
    <t>Lavandería los Remedios</t>
  </si>
  <si>
    <t>618 144 4101</t>
  </si>
  <si>
    <t>Avenida los Remedios 609, Fraccionamiento los Remedios</t>
  </si>
  <si>
    <t>Lavandería Luca</t>
  </si>
  <si>
    <t>618 273 6439</t>
  </si>
  <si>
    <t>Boulevard Vialidad Mazada 113, Interior 11, Fraccionamiento Privadas del Guadiana</t>
  </si>
  <si>
    <t>Lavandería Mi Esperanza</t>
  </si>
  <si>
    <t>618 309 1006</t>
  </si>
  <si>
    <t>Calle Chapultepec 103, Fraccionamiento Benito Juárez</t>
  </si>
  <si>
    <t>Lavandería Miss Clean</t>
  </si>
  <si>
    <t>618 304 8904</t>
  </si>
  <si>
    <t>Calle Ana Leyva 216, Residencias las Torres, Colonia Nueva Vizcaya</t>
  </si>
  <si>
    <t>zoeluna7275@gmail.com</t>
  </si>
  <si>
    <t>Lavandería Moderna</t>
  </si>
  <si>
    <t>618 187 0030</t>
  </si>
  <si>
    <t>Avenida General Lazaro Cardenas 424 Sur, Colonia Zona Centro</t>
  </si>
  <si>
    <t>lavanderia.moderna.1950@gmail.com</t>
  </si>
  <si>
    <t>Lavandería Nena</t>
  </si>
  <si>
    <t>618 235 7743</t>
  </si>
  <si>
    <t>Calle Fresno Sin Número, Colonia Santa María</t>
  </si>
  <si>
    <t>Lavandería PH</t>
  </si>
  <si>
    <t>618 448 1257</t>
  </si>
  <si>
    <t>Calle Profesor Guadalupe G de Rodriguez 207 a, Colonia Ciénega</t>
  </si>
  <si>
    <t>Lavandería Planchaduría y Tintorería la Vale</t>
  </si>
  <si>
    <t>618 823 8581</t>
  </si>
  <si>
    <t>Avenida Cuitlahuac 452, Fraccionamiento el Edén</t>
  </si>
  <si>
    <t>Lavandería Roma</t>
  </si>
  <si>
    <t>618 181 9094</t>
  </si>
  <si>
    <t>Calle Lisboa 829 a, Fraccionamiento Roma</t>
  </si>
  <si>
    <t>Lavandería San Jose</t>
  </si>
  <si>
    <t>618 132 6123</t>
  </si>
  <si>
    <t>Calle Zarco Sin Número, Colonia Zona Centro</t>
  </si>
  <si>
    <t>Lavandería Secado Al Sol</t>
  </si>
  <si>
    <t>618 326 5785</t>
  </si>
  <si>
    <t>Calle Salubridad 410, Colonia Olga Margarita</t>
  </si>
  <si>
    <t>Lavandería Sin Nombre</t>
  </si>
  <si>
    <t>618 294 1542</t>
  </si>
  <si>
    <t>Calle Ricardo Flores Magon Sin Número, Colonia J. Guadalupe Rodríguez</t>
  </si>
  <si>
    <t>Lavandería Smooth Clean</t>
  </si>
  <si>
    <t>618 127 7805</t>
  </si>
  <si>
    <t>Avenida Licenciado Francisco Primo de Verdad y Ramos 1101, Colonia Valle del Sur</t>
  </si>
  <si>
    <t>Lavandería Talamantes</t>
  </si>
  <si>
    <t>876 109 1554</t>
  </si>
  <si>
    <t>Avenida Coronel Enrique Carrola Antuna Sin Número, Colonia J. Guadalupe Rodríguez</t>
  </si>
  <si>
    <t>Lavandería Tintorería Hiper White</t>
  </si>
  <si>
    <t>618 469 1545</t>
  </si>
  <si>
    <t>Calle Circuito Interior 315, Fraccionamiento Huizache II</t>
  </si>
  <si>
    <t>Lavandería Tintorería y Planchaduría</t>
  </si>
  <si>
    <t>618 164 1822</t>
  </si>
  <si>
    <t>Avenida Real del Mezquital 94 D, Fraccionamiento Real del Mezquital</t>
  </si>
  <si>
    <t>Lavandería Trapitos</t>
  </si>
  <si>
    <t>618 131 0590</t>
  </si>
  <si>
    <t>Calle Benito Juarez 412, Colonia 5 de Mayo</t>
  </si>
  <si>
    <t>618 141 5831</t>
  </si>
  <si>
    <t>Boulevard Domingo Arrieta 303, Fraccionamiento Sahop</t>
  </si>
  <si>
    <t>Lavandería WM</t>
  </si>
  <si>
    <t>812 465 0503</t>
  </si>
  <si>
    <t>Calle Raiz del Hombre Sin Número, Fraccionamiento Octavio Paz</t>
  </si>
  <si>
    <t>Lavandería y Planchado Mi Chacha</t>
  </si>
  <si>
    <t>618 292 8786</t>
  </si>
  <si>
    <t>Calle Geronimo Hernandez Sin Número, Colonia Insurgentes</t>
  </si>
  <si>
    <t>Lavandería y Planchaduría</t>
  </si>
  <si>
    <t>618 290 6684</t>
  </si>
  <si>
    <t>Calle Licenciado Alberto Terrones Benitez Sin Número, Colonia Zona Centro</t>
  </si>
  <si>
    <t>Lavandería y Planchaduría Aldama</t>
  </si>
  <si>
    <t>618 804 7884</t>
  </si>
  <si>
    <t>Calle Aldama 610, Colonia IV Centenario</t>
  </si>
  <si>
    <t>Lavandería y Planchaduría Canelas</t>
  </si>
  <si>
    <t>618 113 0582</t>
  </si>
  <si>
    <t>Avenida Coronel Enrique Carrola Antuna 408, Colonia J. Guadalupe Rodríguez</t>
  </si>
  <si>
    <t>Lavandería y Planchaduría Chacha Plancha</t>
  </si>
  <si>
    <t>618 304 1414</t>
  </si>
  <si>
    <t>Prolongacion Pino Suarez 3600 3, Colonia J. Guadalupe Rodríguez</t>
  </si>
  <si>
    <t>Lavandería y Planchaduría Karyme</t>
  </si>
  <si>
    <t>618 133 3872</t>
  </si>
  <si>
    <t>Calle General Ismael Lares 235 a, Fraccionamiento Domingo Arrieta</t>
  </si>
  <si>
    <t>Lavandería y Planchaduría Rox</t>
  </si>
  <si>
    <t>618 120 0646</t>
  </si>
  <si>
    <t>Calle Lorenzo Garza Sin Número, Fraccionamiento San Ignacio</t>
  </si>
  <si>
    <t>Lavanderías y Tintorerías Sin Nombre</t>
  </si>
  <si>
    <t>618 156 3164</t>
  </si>
  <si>
    <t>Calle Rio Grande 100, Fraccionamiento Milenio 450</t>
  </si>
  <si>
    <t>Lavanova</t>
  </si>
  <si>
    <t>618 117 2474</t>
  </si>
  <si>
    <t>Boulevard General Guadalupe Victoria Sin Número, Colonia 16 de Septiembre</t>
  </si>
  <si>
    <t>Le Planche Planchaduría y Lavandería</t>
  </si>
  <si>
    <t>618 290 1700</t>
  </si>
  <si>
    <t>Calle Capitan Pedro Celestino Negrete 425, Colonia Zona Centro</t>
  </si>
  <si>
    <t>Limpio y Seco</t>
  </si>
  <si>
    <t>618 210 3074</t>
  </si>
  <si>
    <t>Boulevard Francisco Villa Sin Número, Ciudad Industrial 20 de Noviembre</t>
  </si>
  <si>
    <t>Planchado Express</t>
  </si>
  <si>
    <t>618 364 1368</t>
  </si>
  <si>
    <t>Calle Capitan Pedro Celestino Negrete 1003 B, Colonia Zona Centro</t>
  </si>
  <si>
    <t>Planchaduría Como en Casa</t>
  </si>
  <si>
    <t>618 154 0283</t>
  </si>
  <si>
    <t>Prolongacion Nazas Sin Número, Fraccionamiento Canela</t>
  </si>
  <si>
    <t>Planchaduría Exppres</t>
  </si>
  <si>
    <t>618 117 8408</t>
  </si>
  <si>
    <t>Calle 19 de Julio 411 a, Colonia Tierra y Libertad</t>
  </si>
  <si>
    <t>Planchaduría Giron</t>
  </si>
  <si>
    <t>618 365 8150</t>
  </si>
  <si>
    <t>Prolongacion Pino Suarez 313, Colonia Luis Echeverría</t>
  </si>
  <si>
    <t>Planchaduría Jaz</t>
  </si>
  <si>
    <t>618 126 9671</t>
  </si>
  <si>
    <t>Calle Guadalajara 230, Colonia Jalisco</t>
  </si>
  <si>
    <t>Planchaduría Lomas</t>
  </si>
  <si>
    <t>618 275 3542</t>
  </si>
  <si>
    <t>Boulevard Durango 302 C, Fraccionamiento Lomas del Guadiana</t>
  </si>
  <si>
    <t>Planchaduría Planchaexpress Tintorería y Lavandería</t>
  </si>
  <si>
    <t>618 322 8138</t>
  </si>
  <si>
    <t>Avenida Real del Mezquital 225, Fraccionamiento Real del Mezquital</t>
  </si>
  <si>
    <t>Rapido y Limpio</t>
  </si>
  <si>
    <t>618 840 5278</t>
  </si>
  <si>
    <t>Calle Rio Usumacinta Sin Número, Colonia Valle del Sur</t>
  </si>
  <si>
    <t>The Urban Laundry</t>
  </si>
  <si>
    <t>618 260 4574</t>
  </si>
  <si>
    <t>Calle el Atardecer 208, Plaza Cultivos, Fraccionamiento el Atardecer Residencial</t>
  </si>
  <si>
    <t>urbanlaundrydgo@gmail.com</t>
  </si>
  <si>
    <t>Tintorería California</t>
  </si>
  <si>
    <t>618 817 0677</t>
  </si>
  <si>
    <t>Calle Regato 257, Colonia Zona Centro</t>
  </si>
  <si>
    <t>tintocalifornia@gmail.com</t>
  </si>
  <si>
    <t>Tintorería Ever Clean</t>
  </si>
  <si>
    <t>618 811 3444</t>
  </si>
  <si>
    <t>Calle Laureano Roncal 516 Sur, Condominio Zona Centro</t>
  </si>
  <si>
    <t>cmme65@proyigi.net.mx</t>
  </si>
  <si>
    <t>Tintorería Ralise</t>
  </si>
  <si>
    <t>618 811 4444</t>
  </si>
  <si>
    <t>Calle Gabino Barreda 1006, Colonia Zona Centro</t>
  </si>
  <si>
    <t>Tintorería Rapida Max el Eden</t>
  </si>
  <si>
    <t>618 836 7336</t>
  </si>
  <si>
    <t>Boulevard Instituto Politecnico Nacional 100, el Eden, Fraccionamiento el Edén</t>
  </si>
  <si>
    <t>Gómez Palacio</t>
  </si>
  <si>
    <t>Lavado y Secado</t>
  </si>
  <si>
    <t>871 245 2073</t>
  </si>
  <si>
    <t>Avenida Ignacio Allende 971, Colonia Zona Centro</t>
  </si>
  <si>
    <t>Lavado Ya</t>
  </si>
  <si>
    <t>871 514 1443</t>
  </si>
  <si>
    <t>Boulevard el Refugio Sin Número, Fraccionamiento Villas el Refugio</t>
  </si>
  <si>
    <t>Lavandería Alamos</t>
  </si>
  <si>
    <t>871 251 5184</t>
  </si>
  <si>
    <t>Calle Turquia Sin Número, Colonia Nuevo los Alamos</t>
  </si>
  <si>
    <t>Lavandería Doña Blanquita</t>
  </si>
  <si>
    <t>871 493 0691</t>
  </si>
  <si>
    <t>Avenida Francisco Villa 130, Colonia las Granjas 2</t>
  </si>
  <si>
    <t>Lavandería Industrial Sin Nombre</t>
  </si>
  <si>
    <t>871 136 0275</t>
  </si>
  <si>
    <t>Calle Coneto de Comonfort Sin Número, Colonia las Huertas</t>
  </si>
  <si>
    <t>mundocast@hotmail.com</t>
  </si>
  <si>
    <t>Lavandería Lavamas</t>
  </si>
  <si>
    <t>871 185 2324</t>
  </si>
  <si>
    <t>Boulevard Bicentenario de la Revolucion Sin Número, Interior 9, Colonia Carrillo Puerto</t>
  </si>
  <si>
    <t>www.lavanderialavamas.com</t>
  </si>
  <si>
    <t>Lavandería Lyo</t>
  </si>
  <si>
    <t>871 173 5816</t>
  </si>
  <si>
    <t>Calle San Francisco Sin Número, Colonia San Antonio</t>
  </si>
  <si>
    <t>Lavandería Mi Angel</t>
  </si>
  <si>
    <t>871 797 3351</t>
  </si>
  <si>
    <t>Avenida Francisco Villa 316, Fraccionamiento Rinconadas Hamburgo</t>
  </si>
  <si>
    <t>Lavandería MS</t>
  </si>
  <si>
    <t>871 644 1688</t>
  </si>
  <si>
    <t>Avenida Alfonso Ramirez Leyva 304, Fraccionamiento Santa Rosa</t>
  </si>
  <si>
    <t>Lavandería Reluce</t>
  </si>
  <si>
    <t>871 123 7127</t>
  </si>
  <si>
    <t>Avenida Francisco Villa 258, Rinconada las Granjas 2</t>
  </si>
  <si>
    <t>871 575 1588</t>
  </si>
  <si>
    <t>Calle 20 449, Fraccionamiento Filadelfia</t>
  </si>
  <si>
    <t>Lavandería Soaep</t>
  </si>
  <si>
    <t>871 131 0119</t>
  </si>
  <si>
    <t>Calle Pereyra 907 Bis, Colonia Revolución</t>
  </si>
  <si>
    <t>Lavandería Tex Man</t>
  </si>
  <si>
    <t>871 725 7266</t>
  </si>
  <si>
    <t>Boulevard Francisco Gonzalez de la Vega 427, Parque Industrial Carlos Herrera Araluce</t>
  </si>
  <si>
    <t>Lavandería y Planchado Alejandra</t>
  </si>
  <si>
    <t>871 325 3020</t>
  </si>
  <si>
    <t>Calle Alvaro Obregon 208, Colonia Tierra Blanca</t>
  </si>
  <si>
    <t>Lavanderías Express</t>
  </si>
  <si>
    <t>871 347 1000</t>
  </si>
  <si>
    <t>Avenida Ingenieros 1030, Fraccionamiento Filadelfia</t>
  </si>
  <si>
    <t>lavanderiasexpressgp@gmail.com</t>
  </si>
  <si>
    <t>Planchaduría Teloplancho</t>
  </si>
  <si>
    <t>871 761 5656</t>
  </si>
  <si>
    <t>Avenida Arquitectos Sin Número, Fraccionamiento Filadelfia</t>
  </si>
  <si>
    <t>Quick Clean Tintorería y Lavandería</t>
  </si>
  <si>
    <t>871 437 5923</t>
  </si>
  <si>
    <t>Boulevard Miguel Aleman 625, las Rosas, Colonia el Campestre</t>
  </si>
  <si>
    <t>Servicio Lavandería</t>
  </si>
  <si>
    <t>871 105 8900</t>
  </si>
  <si>
    <t>Avenida Aguamarina 413, Colonia la Esperanza</t>
  </si>
  <si>
    <t>Tintorería CLYN Members Tintorería Plus</t>
  </si>
  <si>
    <t>871 499 1159</t>
  </si>
  <si>
    <t>Boulevard Miguel Aleman 251, Interior 6, Colonia las Rosas</t>
  </si>
  <si>
    <t>Lerdo</t>
  </si>
  <si>
    <t>Lavandería Cuquita</t>
  </si>
  <si>
    <t>667 746 0199</t>
  </si>
  <si>
    <t>Prolongacion Galeana 1296, Fraccionamiento San Fernando</t>
  </si>
  <si>
    <t>Lavandería Famiwash</t>
  </si>
  <si>
    <t>871 404 2622</t>
  </si>
  <si>
    <t>Calle Ejido Lerdo 299, Colonia Hijos de Ejidatarios</t>
  </si>
  <si>
    <t>871 262 6596</t>
  </si>
  <si>
    <t>Calle Azucenas Sin Número, Colonia Villa Jardin</t>
  </si>
  <si>
    <t>Lavandería Lavale</t>
  </si>
  <si>
    <t>871 200 6692</t>
  </si>
  <si>
    <t>Calle Chihuahua Sin Número, Colonia Centro</t>
  </si>
  <si>
    <t>Lavandería Sanjua-n</t>
  </si>
  <si>
    <t>871 709 9747</t>
  </si>
  <si>
    <t>Calle Jose Maria Morelos y Pavon Sin Número, Ciudad Juárez</t>
  </si>
  <si>
    <t>871 261 2945</t>
  </si>
  <si>
    <t>Calzada Guadalupe Victoria Sin Número, Interior 1143, Colonia Villa Jardin</t>
  </si>
  <si>
    <t>Lavandería y Tintorería Econoclean</t>
  </si>
  <si>
    <t>871 305 1172</t>
  </si>
  <si>
    <t>Calle Aldama 44 Bis, Colonia Centro</t>
  </si>
  <si>
    <t>Plancha Express</t>
  </si>
  <si>
    <t>871 188 8869</t>
  </si>
  <si>
    <t>Boulevard Miguel Aleman 134, Colonia Magisterial</t>
  </si>
  <si>
    <t>Clean &amp; Fast</t>
  </si>
  <si>
    <t>871 144 8032</t>
  </si>
  <si>
    <t>Calle Eleuterio Lopez Sanchez 1350, Interior 28, Fraccionamiento del Viento</t>
  </si>
  <si>
    <t>Clean Fast 360</t>
  </si>
  <si>
    <t>871 266 6632</t>
  </si>
  <si>
    <t>Avenida Paseo del Tecnologico 860, Interior 8, Colonia Torreon Residencial</t>
  </si>
  <si>
    <t>Clean Shoes</t>
  </si>
  <si>
    <t>871 450 9000</t>
  </si>
  <si>
    <t>Prolongacion Monaco Sin Número, Colonia Alamedas</t>
  </si>
  <si>
    <t>Clean Walkers</t>
  </si>
  <si>
    <t>871 458 1096</t>
  </si>
  <si>
    <t>Boulevard de la Senda 350, Plaza Iberia, Fraccionamiento Andaluz</t>
  </si>
  <si>
    <t>www.cleanwalkerstorreon.com</t>
  </si>
  <si>
    <t>Cleanyfast Lavnderia de Alzado</t>
  </si>
  <si>
    <t>871 378 0929</t>
  </si>
  <si>
    <t>Calle Paseo de la Rosita 507, Interior B, Colonia Campestre la Rosita</t>
  </si>
  <si>
    <t>CLYN Members</t>
  </si>
  <si>
    <t>871 381 8589</t>
  </si>
  <si>
    <t>Calle Paseo de la Champaña 701 3, Interior 4, Fraccionamiento Codorniz</t>
  </si>
  <si>
    <t>jorgefernandezlorda@gmail.com</t>
  </si>
  <si>
    <t>Compostura de Ropa Nana Plancha</t>
  </si>
  <si>
    <t>871 262 9587</t>
  </si>
  <si>
    <t>Avenida 6 de Octubre 1070, Colonia Centro</t>
  </si>
  <si>
    <t>Confecciones Señorial</t>
  </si>
  <si>
    <t>871 718 0655</t>
  </si>
  <si>
    <t>Avenida Zacatecas 1906, Colonia Centro</t>
  </si>
  <si>
    <t>El Cuarto de Lavado</t>
  </si>
  <si>
    <t>871 510 7482</t>
  </si>
  <si>
    <t>Boulevard Paseo Palmares Sin Número, Residencial Villa de las Palmas</t>
  </si>
  <si>
    <t>Fast Clean Lavandería y Planchado</t>
  </si>
  <si>
    <t>871 135 0401</t>
  </si>
  <si>
    <t>Calzada Calzada de los Nogales 125, Colonia Villa Jacarandas</t>
  </si>
  <si>
    <t>Fullwash</t>
  </si>
  <si>
    <t>871 188 9229</t>
  </si>
  <si>
    <t>Calzada Paseo del Tecnologico 1458 2, Colonia Villas de la Hacienda</t>
  </si>
  <si>
    <t>Green Clean</t>
  </si>
  <si>
    <t>871 207 9492</t>
  </si>
  <si>
    <t>Calle Eleuterio Lopez Sanchez 1350, Fraccionamiento del Viento</t>
  </si>
  <si>
    <t>Green Clean Tintorerías</t>
  </si>
  <si>
    <t>871 721 2007</t>
  </si>
  <si>
    <t>Calle Paseo de la Rosita 302, Interior 1, Colonia Campestre la Rosita</t>
  </si>
  <si>
    <t>nuria.valdez.@hotmail.com</t>
  </si>
  <si>
    <t>Grupo Lavanti</t>
  </si>
  <si>
    <t>871 521 5045</t>
  </si>
  <si>
    <t>Calle Rio Lerma 415, Colonia Navarro</t>
  </si>
  <si>
    <t>Iron Express</t>
  </si>
  <si>
    <t>871 793 9434</t>
  </si>
  <si>
    <t>Calle Artes Graficas 1184, Colonia Centro</t>
  </si>
  <si>
    <t>escamillaamalia@yahoo.com</t>
  </si>
  <si>
    <t>Keep It Clean</t>
  </si>
  <si>
    <t>871 230 5015</t>
  </si>
  <si>
    <t>Avenida Paseo de la Soledad 260 B, Ampliacion la Rosita</t>
  </si>
  <si>
    <t>robertomp304@hotmail.com</t>
  </si>
  <si>
    <t>La Planchita</t>
  </si>
  <si>
    <t>871 514 9761</t>
  </si>
  <si>
    <t>La Planchita Feliz</t>
  </si>
  <si>
    <t>871 138 8308</t>
  </si>
  <si>
    <t>Calle Rio Grijalva 150, Colonia la Estrella</t>
  </si>
  <si>
    <t>La Suprema Lavandería</t>
  </si>
  <si>
    <t>871 241 3939</t>
  </si>
  <si>
    <t>Avenida Bromo 8539, Fraccionamiento Loma Real II</t>
  </si>
  <si>
    <t>Lava Exprees Tintorería</t>
  </si>
  <si>
    <t>871 204 4336</t>
  </si>
  <si>
    <t>Carretera Torreon San Pedro Sin Número, Hacienda el Rosario</t>
  </si>
  <si>
    <t>Lava Express Lavandería</t>
  </si>
  <si>
    <t>871 571 5466</t>
  </si>
  <si>
    <t>Prolongacion Monaco 234, Colonia Alamedas</t>
  </si>
  <si>
    <t>Lava Express Tintorería</t>
  </si>
  <si>
    <t>871 193 9400</t>
  </si>
  <si>
    <t>Boulevard Independencia 2480, Interior 7, Colonia la Estrella</t>
  </si>
  <si>
    <t>871 143 7611</t>
  </si>
  <si>
    <t>Calle Melchor Muzquiz 119, Colonia Centro</t>
  </si>
  <si>
    <t>871 360 2966</t>
  </si>
  <si>
    <t>Calle Universidad Sin Número, Fraccionamiento Joyas de Torreon</t>
  </si>
  <si>
    <t>Lavandería 21</t>
  </si>
  <si>
    <t>871 679 5598</t>
  </si>
  <si>
    <t>Avenida Matamoros 100, Colonia Centro</t>
  </si>
  <si>
    <t>Lavandería Anita</t>
  </si>
  <si>
    <t>871 116 3760</t>
  </si>
  <si>
    <t>Calle Prolongacion Francisco Sarabia 5705, Colonia G Diaz Ordaz</t>
  </si>
  <si>
    <t>Lavandería Bioclean</t>
  </si>
  <si>
    <t>871 267 4812</t>
  </si>
  <si>
    <t>Calle Eleuterio Lopez Sanchez 890, Corredor Palma Real I, Colonia Country Club Residencial</t>
  </si>
  <si>
    <t>Lavandería Burbu Clean</t>
  </si>
  <si>
    <t>871 335 1330</t>
  </si>
  <si>
    <t>Calzada Manuel Gomez Morin 377, Colonia Residencial la Hacienda</t>
  </si>
  <si>
    <t>Lavandería Cantera</t>
  </si>
  <si>
    <t>871 887 3911</t>
  </si>
  <si>
    <t>Boulevard Boulevard de los Arboles 24, Interior 5, Fraccionamiento Ampliacion Senderos</t>
  </si>
  <si>
    <t>gabygabina3112@gmail.com</t>
  </si>
  <si>
    <t>Lavandería Chaka Chaka</t>
  </si>
  <si>
    <t>871 234 5558</t>
  </si>
  <si>
    <t>Calle Pavorreal 4881, Colonia Casa Blanca</t>
  </si>
  <si>
    <t>faregom71@gmail.com</t>
  </si>
  <si>
    <t>Lavandería de Ropa Princesa</t>
  </si>
  <si>
    <t>871 473 6459</t>
  </si>
  <si>
    <t>Avenida Xochimilco 28, Colonia Villa California</t>
  </si>
  <si>
    <t>Lavandería Estrella</t>
  </si>
  <si>
    <t>871 310 4830</t>
  </si>
  <si>
    <t>Boulevard de la Senda 400, Senderos 400, Fraccionamiento Residencial Senderos</t>
  </si>
  <si>
    <t>Lavandería Expres Pro Clean</t>
  </si>
  <si>
    <t>871 463 5264</t>
  </si>
  <si>
    <t>Calzada Manuel Gomez Morin 403 2, Colonia Torreon Residencial</t>
  </si>
  <si>
    <t>sebastanandresfigueroadavila@gmail.com</t>
  </si>
  <si>
    <t>Lavandería Fast Clean</t>
  </si>
  <si>
    <t>871 244 5859</t>
  </si>
  <si>
    <t>Calle Mazatlan 5391 Bis, Colonia Villa California</t>
  </si>
  <si>
    <t>Lavandería Klean Family</t>
  </si>
  <si>
    <t>871 107 8393</t>
  </si>
  <si>
    <t>Calle Eugenio Aguirre Benavides 794 Bis, Colonia Centro</t>
  </si>
  <si>
    <t>Lavandería la Blanquita</t>
  </si>
  <si>
    <t>871 580 0163</t>
  </si>
  <si>
    <t>Boulevard Pedro Rodriguez Triana 650, Fraccionamiento Residencial la Hacienda</t>
  </si>
  <si>
    <t>Lavandería la Borbuja</t>
  </si>
  <si>
    <t>871 522 9203</t>
  </si>
  <si>
    <t>Boulevard Boulevard de los Arboles 20, Interior 2, Fraccionamiento Ampliacion Senderos</t>
  </si>
  <si>
    <t>Lavandería la Gotita</t>
  </si>
  <si>
    <t>871 267 1795</t>
  </si>
  <si>
    <t>Avenida Mariano Abasolo 2109, Colonia Centro</t>
  </si>
  <si>
    <t>Lavandería la Lavandería</t>
  </si>
  <si>
    <t>871 510 0513</t>
  </si>
  <si>
    <t>Calle 5, Sin Nombre, Fraccionamiento Residencial Senderos</t>
  </si>
  <si>
    <t>Lavandería la Puntada de Lucy</t>
  </si>
  <si>
    <t>871 730 2543</t>
  </si>
  <si>
    <t>Calle Asia 87, Colonia Rincon de la Hacienda</t>
  </si>
  <si>
    <t>Lavandería Laguna</t>
  </si>
  <si>
    <t>871 401 9119</t>
  </si>
  <si>
    <t>Boulevard Diagonal de las Fuentes 1003 6, Colonia Campestre la Rosita</t>
  </si>
  <si>
    <t>Lavandería Madrid</t>
  </si>
  <si>
    <t>871 319 1968</t>
  </si>
  <si>
    <t>Calle la Madrid Sin Número, Colonia la Mina</t>
  </si>
  <si>
    <t>Lavandería Marge Wash</t>
  </si>
  <si>
    <t>871 236 5285</t>
  </si>
  <si>
    <t>Calle Eugenio Aguirre Benavides Sin Número, Colonia Centro</t>
  </si>
  <si>
    <t>Lavandería Maver</t>
  </si>
  <si>
    <t>871 538 0422</t>
  </si>
  <si>
    <t>Calle Prolongacion Jacarandas Oriente 287 B, Ampliacion las Margaritas</t>
  </si>
  <si>
    <t>Lavandería Max</t>
  </si>
  <si>
    <t>871 136 9951</t>
  </si>
  <si>
    <t>Privada Pedro Rodriguez Triana 6660 10, Fraccionamiento las Lomas</t>
  </si>
  <si>
    <t>Lavandería Max Clean</t>
  </si>
  <si>
    <t>871 263 5417</t>
  </si>
  <si>
    <t>Carretera Torreon San Pedro 2950, Plaza 5 Punto 7, Residencial Senderos</t>
  </si>
  <si>
    <t>Lavandería Mexico</t>
  </si>
  <si>
    <t>871 735 6842</t>
  </si>
  <si>
    <t>Avenida Mexico Sin Número, Colonia Villa California</t>
  </si>
  <si>
    <t>Lavandería Mis Peques</t>
  </si>
  <si>
    <t>871 795 6429</t>
  </si>
  <si>
    <t>Calle Betty Williams 300, Fraccionamiento Veredas la Paz</t>
  </si>
  <si>
    <t>Lavandería Monito</t>
  </si>
  <si>
    <t>871 733 4086</t>
  </si>
  <si>
    <t>Avenida Paseo de la Soledad 390 C, Ampliacion la Rosita</t>
  </si>
  <si>
    <t>Lavandería Rapilava</t>
  </si>
  <si>
    <t>871 122 2876</t>
  </si>
  <si>
    <t>Calle Rio Jordan 202 Bis, Colonia Navarro</t>
  </si>
  <si>
    <t>Lavandería Siglo XX1</t>
  </si>
  <si>
    <t>871 353 9190</t>
  </si>
  <si>
    <t>Boulevard Constitucion 1279, Ampliacion Margaritas</t>
  </si>
  <si>
    <t>Lavandería Smart Clean</t>
  </si>
  <si>
    <t>871 233 2040</t>
  </si>
  <si>
    <t>Calzada Manuel Gomez Morin 299, Colonia Torreon Residencial</t>
  </si>
  <si>
    <t>Lavandería Wach</t>
  </si>
  <si>
    <t>871 103 4485</t>
  </si>
  <si>
    <t>Calle Buenos Aires 832, Fraccionamiento Campo Nuevo II</t>
  </si>
  <si>
    <t>Lavandería y Plancha</t>
  </si>
  <si>
    <t>871 284 7967</t>
  </si>
  <si>
    <t>Calzada Division del Norte 275 1, Residencial la Hacienda</t>
  </si>
  <si>
    <t>Lavandería y Plancha Lupita</t>
  </si>
  <si>
    <t>871 242 2369</t>
  </si>
  <si>
    <t>Calzada Manuel Gomez Morin 113, Residencial la Hacienda</t>
  </si>
  <si>
    <t>Lavandería y Planchado Am</t>
  </si>
  <si>
    <t>871 178 1901</t>
  </si>
  <si>
    <t>Calle Juan Agustin de Espinoza 475, Colonia Etnias</t>
  </si>
  <si>
    <t>Lavandería y Planchaduría Gardenia</t>
  </si>
  <si>
    <t>871 350 3399</t>
  </si>
  <si>
    <t>Calzada Avila Camacho 1903 3, Colonia Navarro</t>
  </si>
  <si>
    <t>Lavandería y Planchaduría JC</t>
  </si>
  <si>
    <t>871 189 3228</t>
  </si>
  <si>
    <t>Boulevard Independencia 1110, Interior 88, Plaza Independencia Torreo, Colonia Centro</t>
  </si>
  <si>
    <t>chita_0403@hotmail.com</t>
  </si>
  <si>
    <t>871 132 4214</t>
  </si>
  <si>
    <t>Calle Efrain Lopez Sanchez 550 3, Fraccionamiento Quintas Campestre los Laureles</t>
  </si>
  <si>
    <t>Lavandería y Planchaduría Lava Plus</t>
  </si>
  <si>
    <t>871 670 6462</t>
  </si>
  <si>
    <t>Calle Pino Suarez 494, Colonia Moderna</t>
  </si>
  <si>
    <t>Lavandería y Tintorería Manhatan</t>
  </si>
  <si>
    <t>871 280 2229</t>
  </si>
  <si>
    <t>Avenida Prolongacion Nicolas Bravo 4498, Colonia Aviacion</t>
  </si>
  <si>
    <t>Mas Clean Lavandería</t>
  </si>
  <si>
    <t>871 582 6884</t>
  </si>
  <si>
    <t>Calle Calle de la Libertad Sin Número, Fraccionamiento Monterreal</t>
  </si>
  <si>
    <t>Plancha Veloz</t>
  </si>
  <si>
    <t>871 253 8438</t>
  </si>
  <si>
    <t>Calle Rio Danubio 610, Colonia la Estrella</t>
  </si>
  <si>
    <t>Planchadito</t>
  </si>
  <si>
    <t>871 243 1046</t>
  </si>
  <si>
    <t>Calzada Manuel Gomez Morin Sin Número, Colonia Torreon Residencial</t>
  </si>
  <si>
    <t>Planchaduría Galvan</t>
  </si>
  <si>
    <t>871 745 0705</t>
  </si>
  <si>
    <t>Calle Ramos Arizpe 121, Colonia Ana</t>
  </si>
  <si>
    <t>Planchaduría la Planchita</t>
  </si>
  <si>
    <t>871 363 7167</t>
  </si>
  <si>
    <t>Calle Calle del Sol 710, Colonia Ampliacion la Rosita</t>
  </si>
  <si>
    <t>Planchaduría Mas Clean</t>
  </si>
  <si>
    <t>Calle Calle del Querubin 620, Colonia la Fuente</t>
  </si>
  <si>
    <t>Quality Wash</t>
  </si>
  <si>
    <t>871 582 4146</t>
  </si>
  <si>
    <t>Calzada Antonio de Juambelz Calle 32 Sin Número, Colonia Centro</t>
  </si>
  <si>
    <t>Sastreria SL</t>
  </si>
  <si>
    <t>871 325 2288</t>
  </si>
  <si>
    <t>Calle Sertoma 33 1, Interior 1, Colonia Nueva los Angeles</t>
  </si>
  <si>
    <t>Servicio de Planchado la Planchita</t>
  </si>
  <si>
    <t>871 505 2946</t>
  </si>
  <si>
    <t>Boulevard Constitucion 101, Ampliacion los Angeles</t>
  </si>
  <si>
    <t>Tinto Speed</t>
  </si>
  <si>
    <t>871 645 9919</t>
  </si>
  <si>
    <t>Boulevard Centenario 402 13, Colonia Santa Barbara</t>
  </si>
  <si>
    <t>tomas.gerardo31@gmail.com</t>
  </si>
  <si>
    <t>Tintorería</t>
  </si>
  <si>
    <t>871 730 1133</t>
  </si>
  <si>
    <t>Boulevard Pedro Rodriguez Triana 730, Interior 2, Plaza Santa Anita, Fraccionamiento Santa Anita</t>
  </si>
  <si>
    <t>Tintorería Bravo</t>
  </si>
  <si>
    <t>871 793 1082</t>
  </si>
  <si>
    <t>Avenida Bravo 1898 Ote, Colonia Centro</t>
  </si>
  <si>
    <t>871 712 5130</t>
  </si>
  <si>
    <t>Avenida Matamoros 495, Colonia Centro</t>
  </si>
  <si>
    <t>Tintorería Max</t>
  </si>
  <si>
    <t>871 212 1260</t>
  </si>
  <si>
    <t>Calle 10995, Interior 12, Fraccionamiento los Viñedos</t>
  </si>
  <si>
    <t>dagomexico@gmail.com</t>
  </si>
  <si>
    <t>871 722 5252</t>
  </si>
  <si>
    <t>Boulevard Independencia 1121, Plaza San Isidro, Colonia Granjas San Isidro</t>
  </si>
  <si>
    <t>Tintorería Quick Clean</t>
  </si>
  <si>
    <t>871 516 5212</t>
  </si>
  <si>
    <t>Calle Independencia 3775, Plaza, Fraccionamiento el Fresno</t>
  </si>
  <si>
    <t>Tintorería Urban Clean</t>
  </si>
  <si>
    <t>871 137 2776</t>
  </si>
  <si>
    <t>Calle 2934, Heb Senderos, Fraccionamiento Senderos</t>
  </si>
  <si>
    <t>Tintorería y Lavandería Maravilla</t>
  </si>
  <si>
    <t>871 415 5763</t>
  </si>
  <si>
    <t>Avenida Universidad 1697 4, Colonia Prados del Oriente</t>
  </si>
  <si>
    <t>Tintorerías 5a Sec</t>
  </si>
  <si>
    <t>871 722 9073</t>
  </si>
  <si>
    <t>Boulevard Independencia 1500, Interior 22 y 23 e, Colonia Navarro</t>
  </si>
  <si>
    <t>tintoreriatorreon@gmail.com</t>
  </si>
  <si>
    <t>Trapitos Plus</t>
  </si>
  <si>
    <t>871 212 1144</t>
  </si>
  <si>
    <t>Boulevard de la Senda 381, Plaza la Cienega, Residencial Senderos</t>
  </si>
  <si>
    <t>Lava Express</t>
  </si>
  <si>
    <t>871 264 7046</t>
  </si>
  <si>
    <t>Boulevard Profesor Jose Santos Valdes Sin Número, Colonia Ejidal</t>
  </si>
  <si>
    <t>Lavandería Karol Wash</t>
  </si>
  <si>
    <t>871 220 8947</t>
  </si>
  <si>
    <t>Avenida Avenida del Valle Sin Número, Fraccionamiento Valle Hermoso</t>
  </si>
  <si>
    <t>Renta de Lavadoras</t>
  </si>
  <si>
    <t>871 583 5108</t>
  </si>
  <si>
    <t>Avenida Mejia 1014, Colonia Rosalinda Ramírez</t>
  </si>
  <si>
    <t>Canatlán</t>
  </si>
  <si>
    <t>La Nueva Lavandería Villaseñor</t>
  </si>
  <si>
    <t>562 861 9389</t>
  </si>
  <si>
    <t>Calle Mariano Escobedo Sin Número, Colonia Valenzuela</t>
  </si>
  <si>
    <t>Lavandería del Centro</t>
  </si>
  <si>
    <t>677 879 4244</t>
  </si>
  <si>
    <t>Calle Aldama Sin Número, Colonia Zona Centro</t>
  </si>
  <si>
    <t>Lavandería Le Rende Vou</t>
  </si>
  <si>
    <t>677 109 1016</t>
  </si>
  <si>
    <t>Calle Lerdo de Tejada 501 a, Colonia Bellavista</t>
  </si>
  <si>
    <t>Cuencamé</t>
  </si>
  <si>
    <t>Lavandería Mi Victoria</t>
  </si>
  <si>
    <t>871 756 2166</t>
  </si>
  <si>
    <t>Avenida Calixto Contreras 510, Colonia la Lomita</t>
  </si>
  <si>
    <t>El Oro</t>
  </si>
  <si>
    <t>Tintorería y Lavandería la Burbuja</t>
  </si>
  <si>
    <t>649 116 3557</t>
  </si>
  <si>
    <t>Calle Sin Número, Barrio el Mirador</t>
  </si>
  <si>
    <t>Guadalupe Victoria</t>
  </si>
  <si>
    <t>Lavandería Clean</t>
  </si>
  <si>
    <t>676 100 0964</t>
  </si>
  <si>
    <t>Calle Zaragoza 311, Barrio Mi Ranchito</t>
  </si>
  <si>
    <t>Lavandería Eco</t>
  </si>
  <si>
    <t>676 882 0010</t>
  </si>
  <si>
    <t>Calle Ignacio Allende Sin Número, Barrio la Noria</t>
  </si>
  <si>
    <t>Lavandería Media Net</t>
  </si>
  <si>
    <t>676 117 4903</t>
  </si>
  <si>
    <t>Calle Corregidora Sin Número, Barrio Mi Ranchito</t>
  </si>
  <si>
    <t>Mapimí</t>
  </si>
  <si>
    <t>Fussion Lavado</t>
  </si>
  <si>
    <t>872 108 0017</t>
  </si>
  <si>
    <t>Avenida Ignacio Allende 51, Localidad Bermejillo</t>
  </si>
  <si>
    <t>872 100 1202</t>
  </si>
  <si>
    <t>Calle Hidalgo Sin Número, Localidad Mapimi</t>
  </si>
  <si>
    <t>Mezquital</t>
  </si>
  <si>
    <t>Lavandaria Mari</t>
  </si>
  <si>
    <t>675 108 3578</t>
  </si>
  <si>
    <t>Calle Benito Juarez Sin Número, Colonia Zona Centro</t>
  </si>
  <si>
    <t>Lavandería Itsley</t>
  </si>
  <si>
    <t>675 100 8185</t>
  </si>
  <si>
    <t>Calle Principal Sin Número, Colonia Centro</t>
  </si>
  <si>
    <t>Nazas</t>
  </si>
  <si>
    <t>Lavandería y Tintorería Talamantes</t>
  </si>
  <si>
    <t>677 871 8024</t>
  </si>
  <si>
    <t>Calle Abasolo Sin Número, Barrio el Tigre</t>
  </si>
  <si>
    <t>Nombre de Dios</t>
  </si>
  <si>
    <t>618 300 0429</t>
  </si>
  <si>
    <t>Avenida Fray Geronimo de Mendoza Sin Número, Colonia Centro</t>
  </si>
  <si>
    <t>Lavandería Rocare</t>
  </si>
  <si>
    <t>618 213 3740</t>
  </si>
  <si>
    <t>Calle Breceda 114, Colonia Breceda</t>
  </si>
  <si>
    <t>Nuevo Ideal</t>
  </si>
  <si>
    <t>Devaclean Lavandería</t>
  </si>
  <si>
    <t>677 101 5502</t>
  </si>
  <si>
    <t>Calle Guadalupe Victoria 604 B3, Colonia Zona Centro</t>
  </si>
  <si>
    <t>Lavandería Flash</t>
  </si>
  <si>
    <t>677 112 8899</t>
  </si>
  <si>
    <t>Avenida Miguel Aleman Sin Número, Colonia Guadalupe Victoria</t>
  </si>
  <si>
    <t>Lavandería Lava-express</t>
  </si>
  <si>
    <t>618 134 7414</t>
  </si>
  <si>
    <t>Avenida Miguel Aleman 104 4, Colonia Centro</t>
  </si>
  <si>
    <t>Lavandería Nuevo Ideal</t>
  </si>
  <si>
    <t>618 174 7914</t>
  </si>
  <si>
    <t>Avenida Miguel Aleman Sin Número, Colonia Libertad</t>
  </si>
  <si>
    <t>Ocampo</t>
  </si>
  <si>
    <t>Lavandería las Nieves</t>
  </si>
  <si>
    <t>649 197 4791</t>
  </si>
  <si>
    <t>Avenida Ignacio Allende Sin Número, Colonia Centro</t>
  </si>
  <si>
    <t>649 196 1857</t>
  </si>
  <si>
    <t>Carretera Carretera Panamericana Sin Número, Colonia Cipres</t>
  </si>
  <si>
    <t>Pánuco de Coronado</t>
  </si>
  <si>
    <t>Lavandería la Unica</t>
  </si>
  <si>
    <t>677 100 7483</t>
  </si>
  <si>
    <t>Avenida Gustavo a Madero 209 B, Colonia Zona Centro</t>
  </si>
  <si>
    <t>Poanas</t>
  </si>
  <si>
    <t>Lavado y Horma Loco Wester</t>
  </si>
  <si>
    <t>675 113 5261</t>
  </si>
  <si>
    <t>Calle Francisco I Madero 115, Colonia Centro</t>
  </si>
  <si>
    <t>Lavandería Victoria</t>
  </si>
  <si>
    <t>675 127 6326</t>
  </si>
  <si>
    <t>Calle 20 de Noviembre Sin Número, Colonia la Hacienda</t>
  </si>
  <si>
    <t>Renta Lavadoras</t>
  </si>
  <si>
    <t>675 103 4176</t>
  </si>
  <si>
    <t>Calle Primero de Mayo Sin Número, Colonia Pueblo Nuevo</t>
  </si>
  <si>
    <t>Pueblo Nuevo</t>
  </si>
  <si>
    <t>675 876 0337</t>
  </si>
  <si>
    <t>Calle 16 de Septiembre Sin Número, Colonia Benito Juarez</t>
  </si>
  <si>
    <t>Lavandería Clean Center</t>
  </si>
  <si>
    <t>675 115 7576</t>
  </si>
  <si>
    <t>Calle Benito Juarez Sin Número, Colonia Centro</t>
  </si>
  <si>
    <t>fatimacontreras082@gmail.com</t>
  </si>
  <si>
    <t>Rodeo</t>
  </si>
  <si>
    <t>677 879 9148</t>
  </si>
  <si>
    <t>Calle Conquistas Agrarias Sin Número, Colonia Eta</t>
  </si>
  <si>
    <t>Carretera Panamericana Sin Número, Colonia</t>
  </si>
  <si>
    <t>Lavandería y Planchaduría Super Lavanderas</t>
  </si>
  <si>
    <t>677 102 8547</t>
  </si>
  <si>
    <t>Carretera Panamericana Sin Número, Colonia Centro</t>
  </si>
  <si>
    <t>Santiago Papasquiaro</t>
  </si>
  <si>
    <t>Lavandería Express</t>
  </si>
  <si>
    <t>674 105 0548</t>
  </si>
  <si>
    <t>Avenida Heroico Colegio Militar Sin Número, Colonia Altamira</t>
  </si>
  <si>
    <t>Lavandería la China</t>
  </si>
  <si>
    <t>674 105 3800</t>
  </si>
  <si>
    <t>Calle Violeta 18 L, Colonia Valle Dorado</t>
  </si>
  <si>
    <t>Lavandería Lava Max</t>
  </si>
  <si>
    <t>674 862 3521</t>
  </si>
  <si>
    <t>Calle Miguel Hidalgo 610, Colonia Solidaridad</t>
  </si>
  <si>
    <t>Lavandería Lava-plus</t>
  </si>
  <si>
    <t>674 110 0886</t>
  </si>
  <si>
    <t>Calle Francisco Ramirez Sin Número, Colonia Altamira</t>
  </si>
  <si>
    <t>Lavandería Muñoz</t>
  </si>
  <si>
    <t>674 105 5734</t>
  </si>
  <si>
    <t>Calle Donato Guerra 203, Colonia Altamira</t>
  </si>
  <si>
    <t>Lavanderiay Planchaduría Jeny</t>
  </si>
  <si>
    <t>674 106 2493</t>
  </si>
  <si>
    <t>Calle Cazadero Sin Número, Colonia Campestre</t>
  </si>
  <si>
    <t>Tintorería Cleo</t>
  </si>
  <si>
    <t>674 862 1701</t>
  </si>
  <si>
    <t>Calle Reforma 102, Colonia Altamira</t>
  </si>
  <si>
    <t>Tamazula</t>
  </si>
  <si>
    <t>Lavadanderia Virginia</t>
  </si>
  <si>
    <t>667 995 3551</t>
  </si>
  <si>
    <t>Calle Ignacio Allende Sin Número, Colonia Centro</t>
  </si>
  <si>
    <t>Tlahualilo</t>
  </si>
  <si>
    <t>Lavandería Mayela</t>
  </si>
  <si>
    <t>872 105 6858</t>
  </si>
  <si>
    <t>Avenida Baja California Sin Número, Localidad Tlahualilo</t>
  </si>
  <si>
    <t>Vicente Guerrero</t>
  </si>
  <si>
    <t>Lavandería Diana</t>
  </si>
  <si>
    <t>675 106 4684</t>
  </si>
  <si>
    <t>Calle Vicente Guerrero 118, Colonia Centro</t>
  </si>
  <si>
    <t>Lavandería Paty</t>
  </si>
  <si>
    <t>618 157 2237</t>
  </si>
  <si>
    <t>Calle Emiliano Zapata 206, Colonia Revolucion</t>
  </si>
  <si>
    <t>Bee Lavandería &amp; Planchado</t>
  </si>
  <si>
    <t>Avenida Nuevo Durango 440, Fraccionamiento Nuevo Durango I</t>
  </si>
  <si>
    <t>Centro de Lavado y Secado de Ropa</t>
  </si>
  <si>
    <t>Avenida Division Durango 800, Fraccionamiento Domingo Arrieta</t>
  </si>
  <si>
    <t>Clean Fashion</t>
  </si>
  <si>
    <t>Prolongacion Nazas Sin Número, Fraccionamiento Nuevo Durango I</t>
  </si>
  <si>
    <t>Ecoclean</t>
  </si>
  <si>
    <t>Calle Año de Juarez 211, Fraccionamiento Guadalupe Victoria Infonavit</t>
  </si>
  <si>
    <t>Estrellas de la Limpieza</t>
  </si>
  <si>
    <t>Corredor Felipe Pescador 25, Colonia del Maestro</t>
  </si>
  <si>
    <t>Everclean Lavandería</t>
  </si>
  <si>
    <t>Avenida Sahuatoba 216, Plaza Lomas, Fraccionamiento Lomas del Parque</t>
  </si>
  <si>
    <t>cmme65@prodigy.net.mx</t>
  </si>
  <si>
    <t>Fresh Clean Lavandería</t>
  </si>
  <si>
    <t>Prolongacion Francisco Villa 208, Pueblo 5 de Mayo</t>
  </si>
  <si>
    <t>Boulevard Durango Sin Número, Colonia Sarh</t>
  </si>
  <si>
    <t>klinolavanderias@gmail.com</t>
  </si>
  <si>
    <t>Lavado y Planchado Real</t>
  </si>
  <si>
    <t>Calle Guadalajara 633, Interior 2, Fraccionamiento Jalisco</t>
  </si>
  <si>
    <t>Lavamatic</t>
  </si>
  <si>
    <t>Calle Constituyentes 705, Fraccionamiento las Fuentes</t>
  </si>
  <si>
    <t>Calle Camino de los Castillos 252, Fraccionamiento Paso Real</t>
  </si>
  <si>
    <t>Calle Carlos Santamaria Sin Número, Colonia Héctor Mayagoitia Domínguez</t>
  </si>
  <si>
    <t>Lavandería America</t>
  </si>
  <si>
    <t>Boulevard Licenciado Armando del Castillo Franco 136, Fraccionamiento Lomas del Parque</t>
  </si>
  <si>
    <t>Lavandería Angy</t>
  </si>
  <si>
    <t>Calle del Guadiana Sin Número, Fraccionamiento Valle Oriente</t>
  </si>
  <si>
    <t>Lavandería Automatica Ale</t>
  </si>
  <si>
    <t>Avenida General Lazaro Cardenas 232, Colonia Real del Prado</t>
  </si>
  <si>
    <t>Lavandería Bien Limpio</t>
  </si>
  <si>
    <t>Avenida Rio de Janeiro 544 a, Fraccionamiento Guadalupe</t>
  </si>
  <si>
    <t>mmgrios@hotmail.com</t>
  </si>
  <si>
    <t>Lavandería Bluewash</t>
  </si>
  <si>
    <t>Prolongacion Nazas Sin Número, Interior 6, Fraccionamiento Santa Teresa</t>
  </si>
  <si>
    <t>Calle Hernandez 1525, Colonia Zona Centro</t>
  </si>
  <si>
    <t>Lavandería del Rio</t>
  </si>
  <si>
    <t>Avenida Coronel Enrique Carrola Antuna Sin Número, Colonia Canela</t>
  </si>
  <si>
    <t>Lavandería el Tendero</t>
  </si>
  <si>
    <t>Calle 50 Aniversario Itd 129 B, Fraccionamiento Aserradero</t>
  </si>
  <si>
    <t>eltendedederolavanderia.dgo@gmail.com</t>
  </si>
  <si>
    <t>Lavandería Espumita</t>
  </si>
  <si>
    <t>Boulevard Juan Pablo II 223, Fraccionamiento Jardines de Durango</t>
  </si>
  <si>
    <t>Lavandería Estrellas de la Limpieza</t>
  </si>
  <si>
    <t>Boulevard Juan Pablo II 125, Fraccionamiento Jardines de Durango</t>
  </si>
  <si>
    <t>Lavandería Evelyn</t>
  </si>
  <si>
    <t>Calle Murallas 115, Colonia Villa de Guadalupe</t>
  </si>
  <si>
    <t>Avenida la Salle 502 B, Residencial Colinas del Saltito</t>
  </si>
  <si>
    <t>Prolongacion 20 de Noviembre 408, Fraccionamiento los Duraznos</t>
  </si>
  <si>
    <t>Boulevard Hermila Galindo Acosta Sin Número, Residencial los Pinos</t>
  </si>
  <si>
    <t>Calle Zacatecas 206, Colonia Morga</t>
  </si>
  <si>
    <t>Avenida Real del Mezquital Sin Número, Fraccionamiento Real del Mezquital</t>
  </si>
  <si>
    <t>Lavandería Gemma</t>
  </si>
  <si>
    <t>Calle Sigma 110, Fraccionamiento Bosques del Valle</t>
  </si>
  <si>
    <t>Lavandería Haiti</t>
  </si>
  <si>
    <t>Calle Haiti 114, Fraccionamiento Jardines de Durango</t>
  </si>
  <si>
    <t>Lavandería Hipoddromo</t>
  </si>
  <si>
    <t>Calle Santiago Papasquiaro 501, Colonia Hipódromo</t>
  </si>
  <si>
    <t>Lavandería la Brisa</t>
  </si>
  <si>
    <t>Cerrada 3ra San Martin 113, Colonia San Juan</t>
  </si>
  <si>
    <t>Avenida la Salle 136, Residencial Paseo del Saltito</t>
  </si>
  <si>
    <t>Lavandería la Burbuja Clean</t>
  </si>
  <si>
    <t>Avenida Coronel Enrique Carrola Antuna 111, Fraccionamiento los Álamos</t>
  </si>
  <si>
    <t>Lavandería la Burbuja Feliz</t>
  </si>
  <si>
    <t>Boulevard de la Juventud Sin Número, Colonia Santa Fe</t>
  </si>
  <si>
    <t>Calle Universidad Autonoma de Durango 113 B, Fraccionamiento Jardines de Durango</t>
  </si>
  <si>
    <t>Lavandería la Lavadora</t>
  </si>
  <si>
    <t>Avenida General Vicente Guerrero 306, Colonia Insurgentes</t>
  </si>
  <si>
    <t>Lavandería la Moderna</t>
  </si>
  <si>
    <t>Calle 1450, Barrio de Tierra Blanca</t>
  </si>
  <si>
    <t>Lavandería la Pinza</t>
  </si>
  <si>
    <t>Avenida Mexico Triunfo 200, Fraccionamiento Villas del Manantial</t>
  </si>
  <si>
    <t>Lavandería la Victoria</t>
  </si>
  <si>
    <t>Avenida la Salle 112 a, Residencial Paseo del Saltito</t>
  </si>
  <si>
    <t>Lavandería las Flores</t>
  </si>
  <si>
    <t>Avenida Solidaridad Sin Número, Fraccionamiento Fidel Velázquez II</t>
  </si>
  <si>
    <t>Avenida Coronel Enrique Carrola Antuna 715, Condominio Ciénega</t>
  </si>
  <si>
    <t>Lavandería Lavi</t>
  </si>
  <si>
    <t>Calle Aquiles Serdan 706, Colonia Zona Centro</t>
  </si>
  <si>
    <t>Lavandería Magi</t>
  </si>
  <si>
    <t>Calle Zarco 200 a, Colonia Zona Centro</t>
  </si>
  <si>
    <t>Avenida Sahuatoba 224, Punto Guadiana, Fraccionamiento Loma Dorada</t>
  </si>
  <si>
    <t>Lavandería Orquidea</t>
  </si>
  <si>
    <t>Avenida Cuitlahuac 411, Fraccionamiento el Edén</t>
  </si>
  <si>
    <t>Lavandería Romy</t>
  </si>
  <si>
    <t>Calle Paseo del Gobernador 144, Fraccionamiento Paso Real</t>
  </si>
  <si>
    <t>Lavandería Sor Clean So Fresh</t>
  </si>
  <si>
    <t>Calle Camino de los Riegos Sin Número, Fraccionamiento San Angel</t>
  </si>
  <si>
    <t>Lavandería Wasche</t>
  </si>
  <si>
    <t>Calle Hacienda de San Jose 151, Fraccionamiento Hacienda de Tapias</t>
  </si>
  <si>
    <t>Lavandería y Planchaduría la Salle</t>
  </si>
  <si>
    <t>Avenida la Salle 122, Residencial Paseo del Saltito</t>
  </si>
  <si>
    <t>Lavandería y Planchaduría las Margaritas</t>
  </si>
  <si>
    <t>Calle Zaragoza 311, Interior 317, Colonia Zona Centro</t>
  </si>
  <si>
    <t>Lavandería y Planchaduría Lavaimpec</t>
  </si>
  <si>
    <t>Calle Felipe Angeles 211 a, Colonia Villa de Guadalupe</t>
  </si>
  <si>
    <t>Lavandería y Tintorería Swan</t>
  </si>
  <si>
    <t>Calle Universidad Autonoma de Durango 120, Galeria Magnolia, Fraccionamiento Jardines de Durango</t>
  </si>
  <si>
    <t>Lavi Lavandería</t>
  </si>
  <si>
    <t>Boulevard Jose Maria Patoni Sin Número, Colonia Arturo Gámiz</t>
  </si>
  <si>
    <t>Prolongacion Lazaro Cardenas 107 a, Fraccionamiento la Forestal</t>
  </si>
  <si>
    <t>Limpiesito Lavandería</t>
  </si>
  <si>
    <t>Calle Pino Suarez 602 1, Colonia Zona Centro</t>
  </si>
  <si>
    <t>Limpio y Terso</t>
  </si>
  <si>
    <t>Avenida Cuauhtemoc 703 C, Colonia Zona Centro</t>
  </si>
  <si>
    <t>MR Gancho</t>
  </si>
  <si>
    <t>Prolongacion Nazas 118, Fraccionamiento Valle del Mezquital II</t>
  </si>
  <si>
    <t>PH Lavandería</t>
  </si>
  <si>
    <t>Calle Milpillas 301, Fraccionamiento la Forestal</t>
  </si>
  <si>
    <t>Boulevard San Antonio Abad 101, Fraccionamiento San José</t>
  </si>
  <si>
    <t>Plancha Sin Nombre</t>
  </si>
  <si>
    <t>Boulevard Juan Pablo II Sin Número, Fraccionamiento la Glorieta</t>
  </si>
  <si>
    <t>Planchaduría</t>
  </si>
  <si>
    <t>Calle el Encino 104, Fraccionamiento Francisco I. Madero</t>
  </si>
  <si>
    <t>Planchaduría el Sol</t>
  </si>
  <si>
    <t>Calle Ramirez 526, Colonia Zona Centro</t>
  </si>
  <si>
    <t>Planchaduría la Plancha Express</t>
  </si>
  <si>
    <t>Calle Hacienda Coyotes 401, Fraccionamiento las Fuentes</t>
  </si>
  <si>
    <t>Planchaduría Madi</t>
  </si>
  <si>
    <t>Calle Pino Suarez 1406, Colonia Olga Margarita</t>
  </si>
  <si>
    <t>Planchaduría y Lavandería Wash Real</t>
  </si>
  <si>
    <t>Boulevard Dolores del Rio 132 a, Fraccionamiento las Playas</t>
  </si>
  <si>
    <t>Productos de Limpieza y Lavandería</t>
  </si>
  <si>
    <t>Diagonal Real Victoria Sin Número, Fraccionamiento Real Victoria</t>
  </si>
  <si>
    <t>Quality Wash Lavandería</t>
  </si>
  <si>
    <t>Prolongacion General Lázaro Cárdenas 400 4, Colonia Universal</t>
  </si>
  <si>
    <t>Robotina</t>
  </si>
  <si>
    <t>Calle Belisario Dominguez Sin Número, Fraccionamiento Hernández</t>
  </si>
  <si>
    <t>Servicio de Lavado y Planchado</t>
  </si>
  <si>
    <t>Calle Salvador Esquer Apodaca 201, Fraccion Jardines de San Antonio</t>
  </si>
  <si>
    <t>Servicio de Planchado</t>
  </si>
  <si>
    <t>Avenida Division Durango 703, Colonia Benjamín Méndez</t>
  </si>
  <si>
    <t>Boulevard Francisco Villa 1410, Colonia Rio Florido</t>
  </si>
  <si>
    <t>Tintorería Rapida Max</t>
  </si>
  <si>
    <t>Boulevard Felipe Pescador 1101, Interior 1, Colonia Esperanza</t>
  </si>
  <si>
    <t>tinto.max1@gmail.com</t>
  </si>
  <si>
    <t>White Tec Lavandería</t>
  </si>
  <si>
    <t>Calle Mision de Santa Lucia 220 a, Fraccionamiento Tres Misiones</t>
  </si>
  <si>
    <t>Acabados Textiles Lavandería Industrial</t>
  </si>
  <si>
    <t>Prolongacion Valle del Guadiana 672, Sin Nombre, Parque Industrial Carlos a Herrera Araluce</t>
  </si>
  <si>
    <t>acatex@prodigy.net.com</t>
  </si>
  <si>
    <t>Almacen Lavartex Seao</t>
  </si>
  <si>
    <t>Calzada Carlos Herrera Araluce Sin Número, Ampliacion Santa Rosa</t>
  </si>
  <si>
    <t>Hi Clear</t>
  </si>
  <si>
    <t>Boulevard Isidoro Leal Rodriguez 3388, Colonia los Álamos</t>
  </si>
  <si>
    <t>hicleartintoreria@outl.com</t>
  </si>
  <si>
    <t>La Plancha Servicio de Planchado</t>
  </si>
  <si>
    <t>Avenida Independencia Sin Número, Colonia Ampliación Bellavista</t>
  </si>
  <si>
    <t>La Roperia</t>
  </si>
  <si>
    <t>Avenida Francisco Villa 601, Plaza Palmas Hamburgo, Rinconada Rinconadas Hamburgo</t>
  </si>
  <si>
    <t>laroperiagp@gmail.com</t>
  </si>
  <si>
    <t>Avenida Juan Ignacio Aldama 401, Colonia Zona Centro</t>
  </si>
  <si>
    <t>Lavandería el Campestre</t>
  </si>
  <si>
    <t>Boulevard Miguel Aleman 111, Colonia las Rosas</t>
  </si>
  <si>
    <t>Calzada Jose Agustin Castro 888, Colonia Revolución</t>
  </si>
  <si>
    <t>Avenida Gregorio Garcia 289, Colonia el Dorado</t>
  </si>
  <si>
    <t>Lavandería Morelos</t>
  </si>
  <si>
    <t>Calle Ocampo 543, Colonia Zona Centro</t>
  </si>
  <si>
    <t>Lavandería Noyolic</t>
  </si>
  <si>
    <t>Calle Niños Heroes 58, Colonia Pánfilo Natera</t>
  </si>
  <si>
    <t>Lavandería Plancharte</t>
  </si>
  <si>
    <t>Avenida Ignacio Zaragoza 875, Fraccionamiento del Bosque</t>
  </si>
  <si>
    <t>Lavandería Relec</t>
  </si>
  <si>
    <t>Avenida Miguel Hidalgo 129 a, Colonia Zona Centro</t>
  </si>
  <si>
    <t>Calle Rinconada de las Azaleas 374, Rinconada Rinconadas Hamburgo</t>
  </si>
  <si>
    <t>Lavandería Teloplancho</t>
  </si>
  <si>
    <t>Boulevard Carlos a Herrera Araluce Sin Número, Colonia la Feria</t>
  </si>
  <si>
    <t>Lavandería y Acabados de la Suchil</t>
  </si>
  <si>
    <t>Calle Suchil 268, Parque Industrial Carlos Herrera Araluce</t>
  </si>
  <si>
    <t>lavanderiaauxcontable@hotmail.com</t>
  </si>
  <si>
    <t>Meraki Planchaduría y Lavandería</t>
  </si>
  <si>
    <t>Avenida Ingenieros 720 a, Fraccionamiento Filadelfia</t>
  </si>
  <si>
    <t>Planchado de Ropa el Botanazo</t>
  </si>
  <si>
    <t>Calle Heroe de Nacozari Sin Número, Colonia Bellavista</t>
  </si>
  <si>
    <t>Tintorería Canada</t>
  </si>
  <si>
    <t>Boulevard Miguel Aleman 964, Colonia Zona Centro</t>
  </si>
  <si>
    <t>Calle Mariano Urrea Sin Número, Colonia Zona Centro</t>
  </si>
  <si>
    <t>Tintorería Express</t>
  </si>
  <si>
    <t>Avenida Independencia 213, Colonia Zona Centro</t>
  </si>
  <si>
    <t>Avenida Guadalupe Victoria 2005, Colonia las Rosas</t>
  </si>
  <si>
    <t>Lavandería Laguna Limpium</t>
  </si>
  <si>
    <t>Prolongacion J Agustin Castro Sin Número, Colonia Villa Jardin</t>
  </si>
  <si>
    <t>Ropa Siete Leguas Jeans</t>
  </si>
  <si>
    <t>Avenida Paseo del Tecnológico 1055, Colonia Placido Domingo</t>
  </si>
  <si>
    <t>ajuarezc@sieteleguas.com.mx</t>
  </si>
  <si>
    <t>Se Lavan Cobertores</t>
  </si>
  <si>
    <t>Calle Constitucion 709, Colonia Colonia Francisco Villa Sur</t>
  </si>
  <si>
    <t>5asec</t>
  </si>
  <si>
    <t>Calle Rio Panuco 405 3, Colonia Navarro</t>
  </si>
  <si>
    <t>Ame</t>
  </si>
  <si>
    <t>Calle Joaquin Moreno 20 1013, Colonia Centro</t>
  </si>
  <si>
    <t>lavanderiasame@gmail.com</t>
  </si>
  <si>
    <t>Clean And Fast</t>
  </si>
  <si>
    <t>Boulevard Independencia Sin Número, Interior 8, Colonia la Estrella</t>
  </si>
  <si>
    <t>Clean Express</t>
  </si>
  <si>
    <t>Avenida Juarez 2020, Plaza 2020, Colonia Centro</t>
  </si>
  <si>
    <t>Clean Factory</t>
  </si>
  <si>
    <t>Calle Mariano Lopez Ortiz 130, Colonia Centro</t>
  </si>
  <si>
    <t>Cliner</t>
  </si>
  <si>
    <t>Avenida Juarez 626, Colonia Centro</t>
  </si>
  <si>
    <t>lavajeno@att.net.mx</t>
  </si>
  <si>
    <t>Easy Clean Lavandería</t>
  </si>
  <si>
    <t>Calle Turin 4690, Colonia Torreon Residencial</t>
  </si>
  <si>
    <t>Eco Clean Desazolve</t>
  </si>
  <si>
    <t>Avenida Rovirosa Wade 382 a, Colonia Aviacion</t>
  </si>
  <si>
    <t>Boulevard Boulevard de la Nogalera 505, Plaza 505, Residencial Santa Barbara</t>
  </si>
  <si>
    <t>facturagc@outlook.com</t>
  </si>
  <si>
    <t>Green Lagoon Tintorería Ecologica</t>
  </si>
  <si>
    <t>Calle Independencia 3699, Esquina 3, Fraccionamiento el Fresno</t>
  </si>
  <si>
    <t>La Lavandería</t>
  </si>
  <si>
    <t>Avenida Prolongacion Nicolas Bravo Sin Número, Colonia Nueva California</t>
  </si>
  <si>
    <t>La New Tintorería</t>
  </si>
  <si>
    <t>Avenida Prolongacion Juarez 7590, Plaza Arcoiris, Fraccionamiento el Castaño</t>
  </si>
  <si>
    <t>Lava Expres</t>
  </si>
  <si>
    <t>Calle Gonzalez Ortega 268 a, Colonia Centro</t>
  </si>
  <si>
    <t>Lava Facil</t>
  </si>
  <si>
    <t>Avenida Jose Cueto 900, Colonia Ampliacion los Angeles</t>
  </si>
  <si>
    <t>Lavado y Planchado</t>
  </si>
  <si>
    <t>Calle Carmen Salinas 28 545, Colonia Centro</t>
  </si>
  <si>
    <t>Avenida Torre de Belem 5007 B, Colonia las Torres</t>
  </si>
  <si>
    <t>Avenida Allende 5703 a, Colonia Nueva California</t>
  </si>
  <si>
    <t>Lavandería Blanquita</t>
  </si>
  <si>
    <t>Calzada Calzada de los Nogales 902 11, Colonia Villa Jacarandas</t>
  </si>
  <si>
    <t>Lavandería Devolava</t>
  </si>
  <si>
    <t>Avenida Prolongacion Juarez 3, Fraccionamiento la Joya</t>
  </si>
  <si>
    <t>Boulevard Diagonal de las Fuentes 16 a, Colonia la Fuente</t>
  </si>
  <si>
    <t>Lavandería el Pedregal</t>
  </si>
  <si>
    <t>Calle Paseo Canal de San Antonio 1729, Colonia el Pedregal</t>
  </si>
  <si>
    <t>Lavandería la Chachita</t>
  </si>
  <si>
    <t>Boulevard Boulevard de la Libertad Sin Número, Ampliacion Ampliacion Valle del Nazas</t>
  </si>
  <si>
    <t>Avenida Paseo Central Sin Número, Colonia Fuentes del Sur</t>
  </si>
  <si>
    <t>Lavandería la Rosa</t>
  </si>
  <si>
    <t>Boulevard Diagonal de las Fuentes 316, Colonia la Fuente</t>
  </si>
  <si>
    <t>Lavandería las Juanis</t>
  </si>
  <si>
    <t>Calle Niños Heroes 575, Colonia Centro</t>
  </si>
  <si>
    <t>Lavandería Lavare</t>
  </si>
  <si>
    <t>Avenida Paseo del Tecnologico 210 3, Colonia Torreon Residencial</t>
  </si>
  <si>
    <t>jorgevarela10@hotmail.com</t>
  </si>
  <si>
    <t>Lavandería Libanesa</t>
  </si>
  <si>
    <t>Calzada Salvador Creel 174, Ampliacion Margaritas</t>
  </si>
  <si>
    <t>Lavandería Marina</t>
  </si>
  <si>
    <t>Calle Blanco 166 B, Interior a, Colonia Centro</t>
  </si>
  <si>
    <t>Lavandería Proclean</t>
  </si>
  <si>
    <t>Calle Juan Terrazas 632, Ampliacion los Angeles</t>
  </si>
  <si>
    <t>Lavandería Re</t>
  </si>
  <si>
    <t>Calle Juan Agustin de Espinoza 475, Interior 2, Colonia Etnias</t>
  </si>
  <si>
    <t>Calzada José Vasconcelos 215, Fraccionamiento Torreon Residencial</t>
  </si>
  <si>
    <t>Avenida Heroico Colegio Militar 225, Colonia Centro</t>
  </si>
  <si>
    <t>Calle Sierra de la Candela Sin Número, Colonia CD Nazas</t>
  </si>
  <si>
    <t>Lavandería Te Lavamos</t>
  </si>
  <si>
    <t>Calzada General Cepeda Sin Número, Colonia Valle Revolucion</t>
  </si>
  <si>
    <t>Lavandería TRC</t>
  </si>
  <si>
    <t>Calle Praxedis Guerrero Sin Número, Interior 4, Colonia Palma San Isidro</t>
  </si>
  <si>
    <t>lavanderiatrc@gmail.com</t>
  </si>
  <si>
    <t>Lavandería Ultra Clean</t>
  </si>
  <si>
    <t>Calle Chichimecas 91 B, Colonia el Tajito</t>
  </si>
  <si>
    <t>Lavandería Ultra Klin</t>
  </si>
  <si>
    <t>Calle Paseo de la Rosita 305, Interior 1, Colonia Campestre la Rosita</t>
  </si>
  <si>
    <t>ultraklin.express@gmail.com</t>
  </si>
  <si>
    <t>Lavandería Viena</t>
  </si>
  <si>
    <t>Calle Tarascos Sin Número, Fraccionamiento el Tajito</t>
  </si>
  <si>
    <t>Lavandería y Tintorería Mi Angel</t>
  </si>
  <si>
    <t>Boulevard Boulevard de la Nogalera Sin Número, Plaza Aurora, Ejido la Union</t>
  </si>
  <si>
    <t>Lavarich</t>
  </si>
  <si>
    <t>Calle Asia 95, Colonia Rincon de la Hacienda</t>
  </si>
  <si>
    <t>Lawash</t>
  </si>
  <si>
    <t>Calle Juarez Sin Número, Fraccionamiento Sol de Oriente III</t>
  </si>
  <si>
    <t>Lawash Lavandería</t>
  </si>
  <si>
    <t>Calle Juarez Sin Número, Ampliacion Ampliacion Valle del Nazas</t>
  </si>
  <si>
    <t>Calle la Libertad 559, Interior 4, Fraccionamiento Chapultepec</t>
  </si>
  <si>
    <t>Lawash Lavandería y Tintorería</t>
  </si>
  <si>
    <t>Calzada Luisa Sin Número, Fraccionamiento Anna</t>
  </si>
  <si>
    <t>Lawash Lavanderías</t>
  </si>
  <si>
    <t>Otro(especifique) 980, Interior 2, Fraccionamiento Loma Real II</t>
  </si>
  <si>
    <t>Limpisima Lavandería</t>
  </si>
  <si>
    <t>Calzada Cuauhtemoc 777, Colonia Centro</t>
  </si>
  <si>
    <t>ventas@limpisimalavanderia.com</t>
  </si>
  <si>
    <t>Maravilla Lavandería y Tintorería</t>
  </si>
  <si>
    <t>Calle Leandro Valle 448, Sin Nombre, Colonia Centro</t>
  </si>
  <si>
    <t>Oficina Administrativa de Tintorerías Max</t>
  </si>
  <si>
    <t>Prolongacion Alvarez 2005, Colonia Centro</t>
  </si>
  <si>
    <t>Ozom Tintorería Especializada</t>
  </si>
  <si>
    <t>Calle Paseo de la Rosita 602, Colonia Campestre la Rosita</t>
  </si>
  <si>
    <t>torreon@ozomtintoreria.com</t>
  </si>
  <si>
    <t>Plancha Max</t>
  </si>
  <si>
    <t>Calzada Saltillo 400 813, Interior 2, Colonia Campestre la Rosita</t>
  </si>
  <si>
    <t>Avenida Laguna Mayran 299, Colonia Torreon Jardin</t>
  </si>
  <si>
    <t>Planchaduría Lulu</t>
  </si>
  <si>
    <t>Boulevard Diagonal de las Fuentes 509 B, Colonia la Fuente</t>
  </si>
  <si>
    <t>Planchaduría Satelite</t>
  </si>
  <si>
    <t>Prolongacion Urano Sin Número, Colonia Allende</t>
  </si>
  <si>
    <t>Tintereria CLYN Members</t>
  </si>
  <si>
    <t>Boulevard Independencia 1699, Colonia San Isidro</t>
  </si>
  <si>
    <t>www.clynmembers.com</t>
  </si>
  <si>
    <t>Tinto Speed Lavandería y Tintorería</t>
  </si>
  <si>
    <t>Calle 10995 7, Fraccionamiento los Viñedos</t>
  </si>
  <si>
    <t>Avenida Aldama 1058, Colonia Centro</t>
  </si>
  <si>
    <t>Tintorería 5a Sec</t>
  </si>
  <si>
    <t>Boulevard Revolucion 2840 05, Interior 5 e, Colonia Torreon Jardin</t>
  </si>
  <si>
    <t>Tintorería Majestic</t>
  </si>
  <si>
    <t>Calle Treviño 274, Colonia Centro</t>
  </si>
  <si>
    <t>tintoreriamajestic@gmail.com</t>
  </si>
  <si>
    <t>Calzada Saltillo 400 754, Colonia Campestre la Rosita</t>
  </si>
  <si>
    <t>Carretera Boulevard de la Nogalera 1990, Fraccionamiento las Villas</t>
  </si>
  <si>
    <t>Calle Independencia 3545, Interior 3, Plaza Real, Fraccionamiento el Fresno</t>
  </si>
  <si>
    <t>Calle Paseo de la Rosita 505, Colonia Residencial Campestre la Rosita</t>
  </si>
  <si>
    <t>Tintorería Plus CLYN Members</t>
  </si>
  <si>
    <t>Boulevard de la Senda 317, Pabellon Senderos, Residencial Senderos</t>
  </si>
  <si>
    <t>www.clynmembers.com.mx</t>
  </si>
  <si>
    <t>Tintorería Presto</t>
  </si>
  <si>
    <t>Calle Independencia 3875, Interior 3, Colonia el Fresno</t>
  </si>
  <si>
    <t>Tintorería Torreon</t>
  </si>
  <si>
    <t>Prolongacion Cristobal Colon 402, Colonia Centro</t>
  </si>
  <si>
    <t>Calle Independencia Sin Número, Colonia Zona Centro</t>
  </si>
  <si>
    <t>Lavandería Super Limpia</t>
  </si>
  <si>
    <t>Calle Mariano Escobedo 102, Otro Centro</t>
  </si>
  <si>
    <t>Lavaderia la Burbuja</t>
  </si>
  <si>
    <t>Calle Colon 316, Colonia los Pirules</t>
  </si>
  <si>
    <t>Lavandería la Plazuela</t>
  </si>
  <si>
    <t>Calle 10 de Mayo 107, Colonia la Plazuela</t>
  </si>
  <si>
    <t>Avenida Adolfo Lopez Mateos 31 a, Colonia Centro</t>
  </si>
  <si>
    <t>Calle Felipe Carrillo Puerto 201, Interior 3, Barrio Zona Centro</t>
  </si>
  <si>
    <t>Lavandería Maggi</t>
  </si>
  <si>
    <t>Calzada Lazaro Cardenas 107, Barrio Mi Ranchito</t>
  </si>
  <si>
    <t>Lavandería y Tintonteria Nero</t>
  </si>
  <si>
    <t>Calle Felipe Carrillo Puerto 212 a, Colonia Centro</t>
  </si>
  <si>
    <t>Guanaceví</t>
  </si>
  <si>
    <t>Calle Aquiles Serdan Sin Número, Barrio Centro</t>
  </si>
  <si>
    <t>Avenida Miguel Hidalgo y Costilla Sin Número, Colonia Benito Juarez</t>
  </si>
  <si>
    <t>Lavandería la Yesi</t>
  </si>
  <si>
    <t>Calle Francisco Sarabia Sin Número, Colonia Centro</t>
  </si>
  <si>
    <t>Lavandería la Burbujita</t>
  </si>
  <si>
    <t>Calle Juarez 210, la Plazuela, Colonia Centro</t>
  </si>
  <si>
    <t>Calle Cuencame Sin Número, Localidad la Ciudad</t>
  </si>
  <si>
    <t>San Dimas</t>
  </si>
  <si>
    <t>Calle de los Fresnos Sin Número, Barrio Juarez</t>
  </si>
  <si>
    <t>San Juan del Río</t>
  </si>
  <si>
    <t>Lavandería Cha Ca Cha Ca</t>
  </si>
  <si>
    <t>Calle Sin Número, Barrio la Quinta</t>
  </si>
  <si>
    <t>Lavado y Planchado el Centro</t>
  </si>
  <si>
    <t>Privada Laberinto Sin Número, Colonia Centro</t>
  </si>
  <si>
    <t>Calle Armando Fernandez 310 a, Colonia Altamira</t>
  </si>
  <si>
    <t>Calle Mezquital Sin Número, Colonia el Paraíso</t>
  </si>
  <si>
    <t>Tepehuanes</t>
  </si>
  <si>
    <t>Prolongacion Hidalgo Sin Número, Colonia Herrera</t>
  </si>
  <si>
    <t>Calle Vicente Guerrero 326, Colonia Centro</t>
  </si>
  <si>
    <t>Avenida 5 de Febrero 123 B, Colonia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</si>
</sst>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297899"/>
      <name val="Arial"/>
    </font>
    <font>
      <b/>
      <sz val="20"/>
      <color rgb="FF297899"/>
      <name val="Arial"/>
    </font>
    <font>
      <sz val="11"/>
      <color rgb="FF515A64"/>
      <name val="Arial"/>
    </font>
    <font>
      <b/>
      <sz val="26"/>
      <color rgb="FF297899"/>
      <name val="Arial"/>
    </font>
    <font>
      <sz val="10"/>
      <color rgb="FF515A64"/>
      <name val="Arial"/>
    </font>
    <font>
      <b/>
      <sz val="13"/>
      <color rgb="FF297899"/>
      <name val="Arial"/>
    </font>
    <font>
      <sz val="11"/>
      <name val="Arial"/>
    </font>
    <font>
      <b/>
      <sz val="11"/>
      <name val="Arial"/>
    </font>
    <font>
      <i/>
      <sz val="9"/>
      <color rgb="FF515A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97899"/>
      </patternFill>
    </fill>
    <fill>
      <patternFill patternType="solid">
        <fgColor rgb="FFFFF4CC"/>
      </patternFill>
    </fill>
    <fill>
      <patternFill patternType="solid">
        <fgColor rgb="FFE3F1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0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" fillId="2" borderId="0" xfId="0" applyFont="1" applyFill="1" applyAlignment="1">
      <alignment vertical="center" wrapText="1"/>
    </xf>
    <xf numFmtId="0" fontId="10" fillId="0" borderId="1" xfId="0" applyFont="1" applyBorder="1"/>
    <xf numFmtId="0" fontId="11" fillId="4" borderId="0" xfId="0" applyFont="1" applyFill="1"/>
    <xf numFmtId="0" fontId="10" fillId="0" borderId="0" xfId="0" applyFont="1"/>
    <xf numFmtId="0" fontId="12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25.57518539,-103.37565254" TargetMode="External"/><Relationship Id="rId21" Type="http://schemas.openxmlformats.org/officeDocument/2006/relationships/hyperlink" Target="https://www.google.com/maps/search/?api=1&amp;query=24.06227793,-104.58513901" TargetMode="External"/><Relationship Id="rId42" Type="http://schemas.openxmlformats.org/officeDocument/2006/relationships/hyperlink" Target="https://www.google.com/maps/search/?api=1&amp;query=24.0194198,-104.65619488" TargetMode="External"/><Relationship Id="rId63" Type="http://schemas.openxmlformats.org/officeDocument/2006/relationships/hyperlink" Target="https://www.google.com/maps/search/?api=1&amp;query=24.03895544,-104.66798499" TargetMode="External"/><Relationship Id="rId84" Type="http://schemas.openxmlformats.org/officeDocument/2006/relationships/hyperlink" Target="https://www.google.com/maps/search/?api=1&amp;query=25.57878118,-103.49710474" TargetMode="External"/><Relationship Id="rId138" Type="http://schemas.openxmlformats.org/officeDocument/2006/relationships/hyperlink" Target="https://www.google.com/maps/search/?api=1&amp;query=25.52280186,-103.40155403" TargetMode="External"/><Relationship Id="rId159" Type="http://schemas.openxmlformats.org/officeDocument/2006/relationships/hyperlink" Target="https://www.google.com/maps/search/?api=1&amp;query=25.52135017,-103.39409876" TargetMode="External"/><Relationship Id="rId170" Type="http://schemas.openxmlformats.org/officeDocument/2006/relationships/hyperlink" Target="https://www.google.com/maps/search/?api=1&amp;query=25.54195469,-103.4670558" TargetMode="External"/><Relationship Id="rId191" Type="http://schemas.openxmlformats.org/officeDocument/2006/relationships/hyperlink" Target="https://www.google.com/maps/search/?api=1&amp;query=24.52641731,-104.77753651" TargetMode="External"/><Relationship Id="rId205" Type="http://schemas.openxmlformats.org/officeDocument/2006/relationships/hyperlink" Target="https://www.google.com/maps/search/?api=1&amp;query=24.88664115,-105.07112127" TargetMode="External"/><Relationship Id="rId226" Type="http://schemas.openxmlformats.org/officeDocument/2006/relationships/hyperlink" Target="https://www.google.com/maps/search/?api=1&amp;query=25.04394028,-105.41802778" TargetMode="External"/><Relationship Id="rId107" Type="http://schemas.openxmlformats.org/officeDocument/2006/relationships/hyperlink" Target="https://www.google.com/maps/search/?api=1&amp;query=25.51785502,-103.39633727" TargetMode="External"/><Relationship Id="rId11" Type="http://schemas.openxmlformats.org/officeDocument/2006/relationships/hyperlink" Target="https://www.google.com/maps/search/?api=1&amp;query=24.07003496,-104.58934282" TargetMode="External"/><Relationship Id="rId32" Type="http://schemas.openxmlformats.org/officeDocument/2006/relationships/hyperlink" Target="https://www.google.com/maps/search/?api=1&amp;query=24.03939055,-104.61956341" TargetMode="External"/><Relationship Id="rId53" Type="http://schemas.openxmlformats.org/officeDocument/2006/relationships/hyperlink" Target="https://www.google.com/maps/search/?api=1&amp;query=24.00018104,-104.66203702" TargetMode="External"/><Relationship Id="rId74" Type="http://schemas.openxmlformats.org/officeDocument/2006/relationships/hyperlink" Target="https://www.google.com/maps/search/?api=1&amp;query=23.99664602,-104.63008516" TargetMode="External"/><Relationship Id="rId128" Type="http://schemas.openxmlformats.org/officeDocument/2006/relationships/hyperlink" Target="https://www.google.com/maps/search/?api=1&amp;query=25.53877038,-103.46710991" TargetMode="External"/><Relationship Id="rId149" Type="http://schemas.openxmlformats.org/officeDocument/2006/relationships/hyperlink" Target="https://www.google.com/maps/search/?api=1&amp;query=25.56710122,-103.43976099" TargetMode="External"/><Relationship Id="rId5" Type="http://schemas.openxmlformats.org/officeDocument/2006/relationships/hyperlink" Target="https://www.google.com/maps/search/?api=1&amp;query=24.01060455,-104.65351371" TargetMode="External"/><Relationship Id="rId95" Type="http://schemas.openxmlformats.org/officeDocument/2006/relationships/hyperlink" Target="https://www.google.com/maps/search/?api=1&amp;query=25.55440344,-103.49952406" TargetMode="External"/><Relationship Id="rId160" Type="http://schemas.openxmlformats.org/officeDocument/2006/relationships/hyperlink" Target="https://www.google.com/maps/search/?api=1&amp;query=25.52190952,-103.3935374" TargetMode="External"/><Relationship Id="rId181" Type="http://schemas.openxmlformats.org/officeDocument/2006/relationships/hyperlink" Target="https://www.google.com/maps/search/?api=1&amp;query=25.55846826,-103.4361529" TargetMode="External"/><Relationship Id="rId216" Type="http://schemas.openxmlformats.org/officeDocument/2006/relationships/hyperlink" Target="https://www.google.com/maps/search/?api=1&amp;query=23.78153593,-105.36067275" TargetMode="External"/><Relationship Id="rId22" Type="http://schemas.openxmlformats.org/officeDocument/2006/relationships/hyperlink" Target="https://www.google.com/maps/search/?api=1&amp;query=24.0505276,-104.62569746" TargetMode="External"/><Relationship Id="rId43" Type="http://schemas.openxmlformats.org/officeDocument/2006/relationships/hyperlink" Target="https://www.google.com/maps/search/?api=1&amp;query=24.00408573,-104.6534711" TargetMode="External"/><Relationship Id="rId64" Type="http://schemas.openxmlformats.org/officeDocument/2006/relationships/hyperlink" Target="https://www.google.com/maps/search/?api=1&amp;query=24.02810812,-104.65936416" TargetMode="External"/><Relationship Id="rId118" Type="http://schemas.openxmlformats.org/officeDocument/2006/relationships/hyperlink" Target="https://www.google.com/maps/search/?api=1&amp;query=25.53079645,-103.41519675" TargetMode="External"/><Relationship Id="rId139" Type="http://schemas.openxmlformats.org/officeDocument/2006/relationships/hyperlink" Target="https://www.google.com/maps/search/?api=1&amp;query=25.54051966,-103.38873273" TargetMode="External"/><Relationship Id="rId85" Type="http://schemas.openxmlformats.org/officeDocument/2006/relationships/hyperlink" Target="https://www.google.com/maps/search/?api=1&amp;query=25.59535045,-103.48139132" TargetMode="External"/><Relationship Id="rId150" Type="http://schemas.openxmlformats.org/officeDocument/2006/relationships/hyperlink" Target="https://www.google.com/maps/search/?api=1&amp;query=25.54562863,-103.3760021" TargetMode="External"/><Relationship Id="rId171" Type="http://schemas.openxmlformats.org/officeDocument/2006/relationships/hyperlink" Target="https://www.google.com/maps/search/?api=1&amp;query=25.51381552,-103.40200056" TargetMode="External"/><Relationship Id="rId192" Type="http://schemas.openxmlformats.org/officeDocument/2006/relationships/hyperlink" Target="https://www.google.com/maps/search/?api=1&amp;query=24.52981007,-104.77816232" TargetMode="External"/><Relationship Id="rId206" Type="http://schemas.openxmlformats.org/officeDocument/2006/relationships/hyperlink" Target="https://www.google.com/maps/search/?api=1&amp;query=24.88731064,-105.07285067" TargetMode="External"/><Relationship Id="rId227" Type="http://schemas.openxmlformats.org/officeDocument/2006/relationships/hyperlink" Target="https://www.google.com/maps/search/?api=1&amp;query=24.96785369,-106.96577587" TargetMode="External"/><Relationship Id="rId12" Type="http://schemas.openxmlformats.org/officeDocument/2006/relationships/hyperlink" Target="https://www.google.com/maps/search/?api=1&amp;query=24.05830253,-104.58783431" TargetMode="External"/><Relationship Id="rId33" Type="http://schemas.openxmlformats.org/officeDocument/2006/relationships/hyperlink" Target="https://www.google.com/maps/search/?api=1&amp;query=24.06011209,-104.60094587" TargetMode="External"/><Relationship Id="rId108" Type="http://schemas.openxmlformats.org/officeDocument/2006/relationships/hyperlink" Target="https://www.google.com/maps/search/?api=1&amp;query=25.56911221,-103.43524196" TargetMode="External"/><Relationship Id="rId129" Type="http://schemas.openxmlformats.org/officeDocument/2006/relationships/hyperlink" Target="https://www.google.com/maps/search/?api=1&amp;query=25.54587878,-103.32634483" TargetMode="External"/><Relationship Id="rId54" Type="http://schemas.openxmlformats.org/officeDocument/2006/relationships/hyperlink" Target="https://www.google.com/maps/search/?api=1&amp;query=24.04346966,-104.5997103" TargetMode="External"/><Relationship Id="rId75" Type="http://schemas.openxmlformats.org/officeDocument/2006/relationships/hyperlink" Target="https://www.google.com/maps/search/?api=1&amp;query=24.03109429,-104.66007149" TargetMode="External"/><Relationship Id="rId96" Type="http://schemas.openxmlformats.org/officeDocument/2006/relationships/hyperlink" Target="https://www.google.com/maps/search/?api=1&amp;query=25.57374805,-103.50721915" TargetMode="External"/><Relationship Id="rId140" Type="http://schemas.openxmlformats.org/officeDocument/2006/relationships/hyperlink" Target="https://www.google.com/maps/search/?api=1&amp;query=25.54872931,-103.43939327" TargetMode="External"/><Relationship Id="rId161" Type="http://schemas.openxmlformats.org/officeDocument/2006/relationships/hyperlink" Target="https://www.google.com/maps/search/?api=1&amp;query=25.55803333,-103.38701427" TargetMode="External"/><Relationship Id="rId182" Type="http://schemas.openxmlformats.org/officeDocument/2006/relationships/hyperlink" Target="https://www.google.com/maps/search/?api=1&amp;query=25.57813625,-103.40683403" TargetMode="External"/><Relationship Id="rId217" Type="http://schemas.openxmlformats.org/officeDocument/2006/relationships/hyperlink" Target="https://www.google.com/maps/search/?api=1&amp;query=25.17835075,-104.55945109" TargetMode="External"/><Relationship Id="rId6" Type="http://schemas.openxmlformats.org/officeDocument/2006/relationships/hyperlink" Target="https://www.google.com/maps/search/?api=1&amp;query=24.05475054,-104.59531992" TargetMode="External"/><Relationship Id="rId23" Type="http://schemas.openxmlformats.org/officeDocument/2006/relationships/hyperlink" Target="https://www.google.com/maps/search/?api=1&amp;query=24.02983015,-104.66930239" TargetMode="External"/><Relationship Id="rId119" Type="http://schemas.openxmlformats.org/officeDocument/2006/relationships/hyperlink" Target="https://www.google.com/maps/search/?api=1&amp;query=25.56102193,-103.43116837" TargetMode="External"/><Relationship Id="rId44" Type="http://schemas.openxmlformats.org/officeDocument/2006/relationships/hyperlink" Target="https://www.google.com/maps/search/?api=1&amp;query=24.05084242,-104.61217538" TargetMode="External"/><Relationship Id="rId65" Type="http://schemas.openxmlformats.org/officeDocument/2006/relationships/hyperlink" Target="https://www.google.com/maps/search/?api=1&amp;query=24.05127896,-104.61922651" TargetMode="External"/><Relationship Id="rId86" Type="http://schemas.openxmlformats.org/officeDocument/2006/relationships/hyperlink" Target="https://www.google.com/maps/search/?api=1&amp;query=25.59445399,-103.49738316" TargetMode="External"/><Relationship Id="rId130" Type="http://schemas.openxmlformats.org/officeDocument/2006/relationships/hyperlink" Target="https://www.google.com/maps/search/?api=1&amp;query=25.54026199,-103.42594999" TargetMode="External"/><Relationship Id="rId151" Type="http://schemas.openxmlformats.org/officeDocument/2006/relationships/hyperlink" Target="https://www.google.com/maps/search/?api=1&amp;query=25.61972445,-103.39088559" TargetMode="External"/><Relationship Id="rId172" Type="http://schemas.openxmlformats.org/officeDocument/2006/relationships/hyperlink" Target="https://www.google.com/maps/search/?api=1&amp;query=25.51609162,-103.42157455" TargetMode="External"/><Relationship Id="rId193" Type="http://schemas.openxmlformats.org/officeDocument/2006/relationships/hyperlink" Target="https://www.google.com/maps/search/?api=1&amp;query=24.86687538,-103.69914204" TargetMode="External"/><Relationship Id="rId207" Type="http://schemas.openxmlformats.org/officeDocument/2006/relationships/hyperlink" Target="https://www.google.com/maps/search/?api=1&amp;query=24.89010181,-105.07006578" TargetMode="External"/><Relationship Id="rId228" Type="http://schemas.openxmlformats.org/officeDocument/2006/relationships/hyperlink" Target="https://www.google.com/maps/search/?api=1&amp;query=26.10375314,-103.43694292" TargetMode="External"/><Relationship Id="rId13" Type="http://schemas.openxmlformats.org/officeDocument/2006/relationships/hyperlink" Target="https://www.google.com/maps/search/?api=1&amp;query=24.01033808,-104.66982492" TargetMode="External"/><Relationship Id="rId109" Type="http://schemas.openxmlformats.org/officeDocument/2006/relationships/hyperlink" Target="https://www.google.com/maps/search/?api=1&amp;query=25.61451742,-103.3901866" TargetMode="External"/><Relationship Id="rId34" Type="http://schemas.openxmlformats.org/officeDocument/2006/relationships/hyperlink" Target="https://www.google.com/maps/search/?api=1&amp;query=24.02729232,-104.62219068" TargetMode="External"/><Relationship Id="rId55" Type="http://schemas.openxmlformats.org/officeDocument/2006/relationships/hyperlink" Target="https://www.google.com/maps/search/?api=1&amp;query=24.00840593,-104.67628437" TargetMode="External"/><Relationship Id="rId76" Type="http://schemas.openxmlformats.org/officeDocument/2006/relationships/hyperlink" Target="https://www.google.com/maps/search/?api=1&amp;query=24.02371177,-104.65742474" TargetMode="External"/><Relationship Id="rId97" Type="http://schemas.openxmlformats.org/officeDocument/2006/relationships/hyperlink" Target="https://www.google.com/maps/search/?api=1&amp;query=25.55294865,-103.49057675" TargetMode="External"/><Relationship Id="rId120" Type="http://schemas.openxmlformats.org/officeDocument/2006/relationships/hyperlink" Target="https://www.google.com/maps/search/?api=1&amp;query=25.55158601,-103.43551364" TargetMode="External"/><Relationship Id="rId141" Type="http://schemas.openxmlformats.org/officeDocument/2006/relationships/hyperlink" Target="https://www.google.com/maps/search/?api=1&amp;query=25.51686263,-103.39038095" TargetMode="External"/><Relationship Id="rId7" Type="http://schemas.openxmlformats.org/officeDocument/2006/relationships/hyperlink" Target="https://www.google.com/maps/search/?api=1&amp;query=24.00545892,-104.6551747" TargetMode="External"/><Relationship Id="rId162" Type="http://schemas.openxmlformats.org/officeDocument/2006/relationships/hyperlink" Target="https://www.google.com/maps/search/?api=1&amp;query=25.55858199,-103.42629083" TargetMode="External"/><Relationship Id="rId183" Type="http://schemas.openxmlformats.org/officeDocument/2006/relationships/hyperlink" Target="https://www.google.com/maps/search/?api=1&amp;query=25.61140037,-103.39842571" TargetMode="External"/><Relationship Id="rId218" Type="http://schemas.openxmlformats.org/officeDocument/2006/relationships/hyperlink" Target="https://www.google.com/maps/search/?api=1&amp;query=25.16228353,-104.5519505" TargetMode="External"/><Relationship Id="rId24" Type="http://schemas.openxmlformats.org/officeDocument/2006/relationships/hyperlink" Target="https://www.google.com/maps/search/?api=1&amp;query=24.0139637,-104.67531674" TargetMode="External"/><Relationship Id="rId45" Type="http://schemas.openxmlformats.org/officeDocument/2006/relationships/hyperlink" Target="https://www.google.com/maps/search/?api=1&amp;query=24.03147316,-104.66609432" TargetMode="External"/><Relationship Id="rId66" Type="http://schemas.openxmlformats.org/officeDocument/2006/relationships/hyperlink" Target="https://www.google.com/maps/search/?api=1&amp;query=24.02912434,-104.65442151" TargetMode="External"/><Relationship Id="rId87" Type="http://schemas.openxmlformats.org/officeDocument/2006/relationships/hyperlink" Target="https://www.google.com/maps/search/?api=1&amp;query=25.56699073,-103.47384415" TargetMode="External"/><Relationship Id="rId110" Type="http://schemas.openxmlformats.org/officeDocument/2006/relationships/hyperlink" Target="https://www.google.com/maps/search/?api=1&amp;query=25.52689335,-103.41546139" TargetMode="External"/><Relationship Id="rId131" Type="http://schemas.openxmlformats.org/officeDocument/2006/relationships/hyperlink" Target="https://www.google.com/maps/search/?api=1&amp;query=25.53592406,-103.38420953" TargetMode="External"/><Relationship Id="rId152" Type="http://schemas.openxmlformats.org/officeDocument/2006/relationships/hyperlink" Target="https://www.google.com/maps/search/?api=1&amp;query=25.54061059,-103.40411617" TargetMode="External"/><Relationship Id="rId173" Type="http://schemas.openxmlformats.org/officeDocument/2006/relationships/hyperlink" Target="https://www.google.com/maps/search/?api=1&amp;query=25.53876295,-103.41396061" TargetMode="External"/><Relationship Id="rId194" Type="http://schemas.openxmlformats.org/officeDocument/2006/relationships/hyperlink" Target="https://www.google.com/maps/search/?api=1&amp;query=25.9563243,-105.36155644" TargetMode="External"/><Relationship Id="rId208" Type="http://schemas.openxmlformats.org/officeDocument/2006/relationships/hyperlink" Target="https://www.google.com/maps/search/?api=1&amp;query=24.89048121,-105.06944217" TargetMode="External"/><Relationship Id="rId229" Type="http://schemas.openxmlformats.org/officeDocument/2006/relationships/hyperlink" Target="https://www.google.com/maps/search/?api=1&amp;query=23.7331194,-103.98799839" TargetMode="External"/><Relationship Id="rId14" Type="http://schemas.openxmlformats.org/officeDocument/2006/relationships/hyperlink" Target="https://www.google.com/maps/search/?api=1&amp;query=24.06046085,-104.58429747" TargetMode="External"/><Relationship Id="rId35" Type="http://schemas.openxmlformats.org/officeDocument/2006/relationships/hyperlink" Target="https://www.google.com/maps/search/?api=1&amp;query=24.00665685,-104.64430545" TargetMode="External"/><Relationship Id="rId56" Type="http://schemas.openxmlformats.org/officeDocument/2006/relationships/hyperlink" Target="https://www.google.com/maps/search/?api=1&amp;query=24.02452596,-104.65389718" TargetMode="External"/><Relationship Id="rId77" Type="http://schemas.openxmlformats.org/officeDocument/2006/relationships/hyperlink" Target="https://www.google.com/maps/search/?api=1&amp;query=24.02933544,-104.67467074" TargetMode="External"/><Relationship Id="rId100" Type="http://schemas.openxmlformats.org/officeDocument/2006/relationships/hyperlink" Target="https://www.google.com/maps/search/?api=1&amp;query=25.54752469,-103.51350933" TargetMode="External"/><Relationship Id="rId8" Type="http://schemas.openxmlformats.org/officeDocument/2006/relationships/hyperlink" Target="https://www.google.com/maps/search/?api=1&amp;query=24.04930511,-104.64846086" TargetMode="External"/><Relationship Id="rId98" Type="http://schemas.openxmlformats.org/officeDocument/2006/relationships/hyperlink" Target="https://www.google.com/maps/search/?api=1&amp;query=25.54755778,-103.55248003" TargetMode="External"/><Relationship Id="rId121" Type="http://schemas.openxmlformats.org/officeDocument/2006/relationships/hyperlink" Target="https://www.google.com/maps/search/?api=1&amp;query=25.51868562,-103.39894064" TargetMode="External"/><Relationship Id="rId142" Type="http://schemas.openxmlformats.org/officeDocument/2006/relationships/hyperlink" Target="https://www.google.com/maps/search/?api=1&amp;query=25.62423995,-103.37681493" TargetMode="External"/><Relationship Id="rId163" Type="http://schemas.openxmlformats.org/officeDocument/2006/relationships/hyperlink" Target="https://www.google.com/maps/search/?api=1&amp;query=25.55746517,-103.43682261" TargetMode="External"/><Relationship Id="rId184" Type="http://schemas.openxmlformats.org/officeDocument/2006/relationships/hyperlink" Target="https://www.google.com/maps/search/?api=1&amp;query=25.50779874,-103.38717571" TargetMode="External"/><Relationship Id="rId219" Type="http://schemas.openxmlformats.org/officeDocument/2006/relationships/hyperlink" Target="https://www.google.com/maps/search/?api=1&amp;query=25.18824145,-104.56363203" TargetMode="External"/><Relationship Id="rId230" Type="http://schemas.openxmlformats.org/officeDocument/2006/relationships/hyperlink" Target="https://www.google.com/maps/search/?api=1&amp;query=23.74041431,-103.98256813" TargetMode="External"/><Relationship Id="rId25" Type="http://schemas.openxmlformats.org/officeDocument/2006/relationships/hyperlink" Target="https://www.google.com/maps/search/?api=1&amp;query=24.05844152,-104.60428486" TargetMode="External"/><Relationship Id="rId46" Type="http://schemas.openxmlformats.org/officeDocument/2006/relationships/hyperlink" Target="https://www.google.com/maps/search/?api=1&amp;query=24.0233368,-104.64798422" TargetMode="External"/><Relationship Id="rId67" Type="http://schemas.openxmlformats.org/officeDocument/2006/relationships/hyperlink" Target="https://www.google.com/maps/search/?api=1&amp;query=24.01970582,-104.64525763" TargetMode="External"/><Relationship Id="rId116" Type="http://schemas.openxmlformats.org/officeDocument/2006/relationships/hyperlink" Target="https://www.google.com/maps/search/?api=1&amp;query=25.51653348,-103.38776091" TargetMode="External"/><Relationship Id="rId137" Type="http://schemas.openxmlformats.org/officeDocument/2006/relationships/hyperlink" Target="https://www.google.com/maps/search/?api=1&amp;query=25.61188044,-103.38899435" TargetMode="External"/><Relationship Id="rId158" Type="http://schemas.openxmlformats.org/officeDocument/2006/relationships/hyperlink" Target="https://www.google.com/maps/search/?api=1&amp;query=25.52256131,-103.35177602" TargetMode="External"/><Relationship Id="rId20" Type="http://schemas.openxmlformats.org/officeDocument/2006/relationships/hyperlink" Target="https://www.google.com/maps/search/?api=1&amp;query=24.05118517,-104.5996857" TargetMode="External"/><Relationship Id="rId41" Type="http://schemas.openxmlformats.org/officeDocument/2006/relationships/hyperlink" Target="https://www.google.com/maps/search/?api=1&amp;query=24.03524862,-104.68584906" TargetMode="External"/><Relationship Id="rId62" Type="http://schemas.openxmlformats.org/officeDocument/2006/relationships/hyperlink" Target="https://www.google.com/maps/search/?api=1&amp;query=24.01567547,-104.59433037" TargetMode="External"/><Relationship Id="rId83" Type="http://schemas.openxmlformats.org/officeDocument/2006/relationships/hyperlink" Target="https://www.google.com/maps/search/?api=1&amp;query=25.59393579,-103.44680099" TargetMode="External"/><Relationship Id="rId88" Type="http://schemas.openxmlformats.org/officeDocument/2006/relationships/hyperlink" Target="https://www.google.com/maps/search/?api=1&amp;query=25.59217876,-103.49630626" TargetMode="External"/><Relationship Id="rId111" Type="http://schemas.openxmlformats.org/officeDocument/2006/relationships/hyperlink" Target="https://www.google.com/maps/search/?api=1&amp;query=25.58315568,-103.38066899" TargetMode="External"/><Relationship Id="rId132" Type="http://schemas.openxmlformats.org/officeDocument/2006/relationships/hyperlink" Target="https://www.google.com/maps/search/?api=1&amp;query=25.57611619,-103.37890362" TargetMode="External"/><Relationship Id="rId153" Type="http://schemas.openxmlformats.org/officeDocument/2006/relationships/hyperlink" Target="https://www.google.com/maps/search/?api=1&amp;query=25.58722453,-103.35644771" TargetMode="External"/><Relationship Id="rId174" Type="http://schemas.openxmlformats.org/officeDocument/2006/relationships/hyperlink" Target="https://www.google.com/maps/search/?api=1&amp;query=25.55569116,-103.44202864" TargetMode="External"/><Relationship Id="rId179" Type="http://schemas.openxmlformats.org/officeDocument/2006/relationships/hyperlink" Target="https://www.google.com/maps/search/?api=1&amp;query=25.54028097,-103.45469677" TargetMode="External"/><Relationship Id="rId195" Type="http://schemas.openxmlformats.org/officeDocument/2006/relationships/hyperlink" Target="https://www.google.com/maps/search/?api=1&amp;query=24.44392432,-104.11896418" TargetMode="External"/><Relationship Id="rId209" Type="http://schemas.openxmlformats.org/officeDocument/2006/relationships/hyperlink" Target="https://www.google.com/maps/search/?api=1&amp;query=26.40004309,-105.39074592" TargetMode="External"/><Relationship Id="rId190" Type="http://schemas.openxmlformats.org/officeDocument/2006/relationships/hyperlink" Target="https://www.google.com/maps/search/?api=1&amp;query=24.52012451,-104.77718125" TargetMode="External"/><Relationship Id="rId204" Type="http://schemas.openxmlformats.org/officeDocument/2006/relationships/hyperlink" Target="https://www.google.com/maps/search/?api=1&amp;query=23.84141092,-104.24740906" TargetMode="External"/><Relationship Id="rId220" Type="http://schemas.openxmlformats.org/officeDocument/2006/relationships/hyperlink" Target="https://www.google.com/maps/search/?api=1&amp;query=25.04717625,-105.4178189" TargetMode="External"/><Relationship Id="rId225" Type="http://schemas.openxmlformats.org/officeDocument/2006/relationships/hyperlink" Target="https://www.google.com/maps/search/?api=1&amp;query=25.04511797,-105.42961738" TargetMode="External"/><Relationship Id="rId15" Type="http://schemas.openxmlformats.org/officeDocument/2006/relationships/hyperlink" Target="https://www.google.com/maps/search/?api=1&amp;query=24.03246414,-104.63125664" TargetMode="External"/><Relationship Id="rId36" Type="http://schemas.openxmlformats.org/officeDocument/2006/relationships/hyperlink" Target="https://www.google.com/maps/search/?api=1&amp;query=24.01705914,-104.68342589" TargetMode="External"/><Relationship Id="rId57" Type="http://schemas.openxmlformats.org/officeDocument/2006/relationships/hyperlink" Target="https://www.google.com/maps/search/?api=1&amp;query=24.00751374,-104.6685814" TargetMode="External"/><Relationship Id="rId106" Type="http://schemas.openxmlformats.org/officeDocument/2006/relationships/hyperlink" Target="https://www.google.com/maps/search/?api=1&amp;query=25.57518539,-103.37565254" TargetMode="External"/><Relationship Id="rId127" Type="http://schemas.openxmlformats.org/officeDocument/2006/relationships/hyperlink" Target="https://www.google.com/maps/search/?api=1&amp;query=25.56972819,-103.42196836" TargetMode="External"/><Relationship Id="rId10" Type="http://schemas.openxmlformats.org/officeDocument/2006/relationships/hyperlink" Target="https://www.google.com/maps/search/?api=1&amp;query=23.9874,-104.66450656" TargetMode="External"/><Relationship Id="rId31" Type="http://schemas.openxmlformats.org/officeDocument/2006/relationships/hyperlink" Target="https://www.google.com/maps/search/?api=1&amp;query=24.01079691,-104.63247888" TargetMode="External"/><Relationship Id="rId52" Type="http://schemas.openxmlformats.org/officeDocument/2006/relationships/hyperlink" Target="https://www.google.com/maps/search/?api=1&amp;query=24.1037357,-104.57493588" TargetMode="External"/><Relationship Id="rId73" Type="http://schemas.openxmlformats.org/officeDocument/2006/relationships/hyperlink" Target="https://www.google.com/maps/search/?api=1&amp;query=24.01186709,-104.68370224" TargetMode="External"/><Relationship Id="rId78" Type="http://schemas.openxmlformats.org/officeDocument/2006/relationships/hyperlink" Target="https://www.google.com/maps/search/?api=1&amp;query=24.00304002,-104.65336574" TargetMode="External"/><Relationship Id="rId94" Type="http://schemas.openxmlformats.org/officeDocument/2006/relationships/hyperlink" Target="https://www.google.com/maps/search/?api=1&amp;query=25.58577559,-103.49129371" TargetMode="External"/><Relationship Id="rId99" Type="http://schemas.openxmlformats.org/officeDocument/2006/relationships/hyperlink" Target="https://www.google.com/maps/search/?api=1&amp;query=25.54518728,-103.51301433" TargetMode="External"/><Relationship Id="rId101" Type="http://schemas.openxmlformats.org/officeDocument/2006/relationships/hyperlink" Target="https://www.google.com/maps/search/?api=1&amp;query=25.54425791,-103.5278037" TargetMode="External"/><Relationship Id="rId122" Type="http://schemas.openxmlformats.org/officeDocument/2006/relationships/hyperlink" Target="https://www.google.com/maps/search/?api=1&amp;query=25.56948916,-103.43839128" TargetMode="External"/><Relationship Id="rId143" Type="http://schemas.openxmlformats.org/officeDocument/2006/relationships/hyperlink" Target="https://www.google.com/maps/search/?api=1&amp;query=25.54214817,-103.42561055" TargetMode="External"/><Relationship Id="rId148" Type="http://schemas.openxmlformats.org/officeDocument/2006/relationships/hyperlink" Target="https://www.google.com/maps/search/?api=1&amp;query=25.54156092,-103.43963423" TargetMode="External"/><Relationship Id="rId164" Type="http://schemas.openxmlformats.org/officeDocument/2006/relationships/hyperlink" Target="https://www.google.com/maps/search/?api=1&amp;query=25.57526184,-103.37709407" TargetMode="External"/><Relationship Id="rId169" Type="http://schemas.openxmlformats.org/officeDocument/2006/relationships/hyperlink" Target="https://www.google.com/maps/search/?api=1&amp;query=25.52319036,-103.40241593" TargetMode="External"/><Relationship Id="rId185" Type="http://schemas.openxmlformats.org/officeDocument/2006/relationships/hyperlink" Target="https://www.google.com/maps/search/?api=1&amp;query=25.56191376,-103.43155387" TargetMode="External"/><Relationship Id="rId4" Type="http://schemas.openxmlformats.org/officeDocument/2006/relationships/hyperlink" Target="https://www.google.com/maps/search/?api=1&amp;query=24.03139217,-104.62424634" TargetMode="External"/><Relationship Id="rId9" Type="http://schemas.openxmlformats.org/officeDocument/2006/relationships/hyperlink" Target="https://www.google.com/maps/search/?api=1&amp;query=24.02097197,-104.62715167" TargetMode="External"/><Relationship Id="rId180" Type="http://schemas.openxmlformats.org/officeDocument/2006/relationships/hyperlink" Target="https://www.google.com/maps/search/?api=1&amp;query=25.56733024,-103.38326657" TargetMode="External"/><Relationship Id="rId210" Type="http://schemas.openxmlformats.org/officeDocument/2006/relationships/hyperlink" Target="https://www.google.com/maps/search/?api=1&amp;query=26.40191838,-105.39422503" TargetMode="External"/><Relationship Id="rId215" Type="http://schemas.openxmlformats.org/officeDocument/2006/relationships/hyperlink" Target="https://www.google.com/maps/search/?api=1&amp;query=23.78173331,-105.36123745" TargetMode="External"/><Relationship Id="rId26" Type="http://schemas.openxmlformats.org/officeDocument/2006/relationships/hyperlink" Target="https://www.google.com/maps/search/?api=1&amp;query=24.05355217,-104.59839943" TargetMode="External"/><Relationship Id="rId47" Type="http://schemas.openxmlformats.org/officeDocument/2006/relationships/hyperlink" Target="https://www.google.com/maps/search/?api=1&amp;query=24.01977177,-104.63276541" TargetMode="External"/><Relationship Id="rId68" Type="http://schemas.openxmlformats.org/officeDocument/2006/relationships/hyperlink" Target="https://www.google.com/maps/search/?api=1&amp;query=24.00645055,-104.69134754" TargetMode="External"/><Relationship Id="rId89" Type="http://schemas.openxmlformats.org/officeDocument/2006/relationships/hyperlink" Target="https://www.google.com/maps/search/?api=1&amp;query=25.58508302,-103.49171585" TargetMode="External"/><Relationship Id="rId112" Type="http://schemas.openxmlformats.org/officeDocument/2006/relationships/hyperlink" Target="https://www.google.com/maps/search/?api=1&amp;query=25.54968043,-103.43688267" TargetMode="External"/><Relationship Id="rId133" Type="http://schemas.openxmlformats.org/officeDocument/2006/relationships/hyperlink" Target="https://www.google.com/maps/search/?api=1&amp;query=25.52187719,-103.3907677" TargetMode="External"/><Relationship Id="rId154" Type="http://schemas.openxmlformats.org/officeDocument/2006/relationships/hyperlink" Target="https://www.google.com/maps/search/?api=1&amp;query=25.51769331,-103.39925713" TargetMode="External"/><Relationship Id="rId175" Type="http://schemas.openxmlformats.org/officeDocument/2006/relationships/hyperlink" Target="https://www.google.com/maps/search/?api=1&amp;query=25.54999797,-103.4492526" TargetMode="External"/><Relationship Id="rId196" Type="http://schemas.openxmlformats.org/officeDocument/2006/relationships/hyperlink" Target="https://www.google.com/maps/search/?api=1&amp;query=24.44993864,-104.12462169" TargetMode="External"/><Relationship Id="rId200" Type="http://schemas.openxmlformats.org/officeDocument/2006/relationships/hyperlink" Target="https://www.google.com/maps/search/?api=1&amp;query=23.47511811,-104.39503511" TargetMode="External"/><Relationship Id="rId16" Type="http://schemas.openxmlformats.org/officeDocument/2006/relationships/hyperlink" Target="https://www.google.com/maps/search/?api=1&amp;query=24.03191638,-104.67515606" TargetMode="External"/><Relationship Id="rId221" Type="http://schemas.openxmlformats.org/officeDocument/2006/relationships/hyperlink" Target="https://www.google.com/maps/search/?api=1&amp;query=25.04592159,-105.43196447" TargetMode="External"/><Relationship Id="rId37" Type="http://schemas.openxmlformats.org/officeDocument/2006/relationships/hyperlink" Target="https://www.google.com/maps/search/?api=1&amp;query=24.02357836,-104.70565233" TargetMode="External"/><Relationship Id="rId58" Type="http://schemas.openxmlformats.org/officeDocument/2006/relationships/hyperlink" Target="https://www.google.com/maps/search/?api=1&amp;query=24.01993715,-104.63517799" TargetMode="External"/><Relationship Id="rId79" Type="http://schemas.openxmlformats.org/officeDocument/2006/relationships/hyperlink" Target="https://www.google.com/maps/search/?api=1&amp;query=25.55997994,-103.49246837" TargetMode="External"/><Relationship Id="rId102" Type="http://schemas.openxmlformats.org/officeDocument/2006/relationships/hyperlink" Target="https://www.google.com/maps/search/?api=1&amp;query=25.4964587,-103.5945434" TargetMode="External"/><Relationship Id="rId123" Type="http://schemas.openxmlformats.org/officeDocument/2006/relationships/hyperlink" Target="https://www.google.com/maps/search/?api=1&amp;query=25.56046961,-103.42193189" TargetMode="External"/><Relationship Id="rId144" Type="http://schemas.openxmlformats.org/officeDocument/2006/relationships/hyperlink" Target="https://www.google.com/maps/search/?api=1&amp;query=25.61442738,-103.38638827" TargetMode="External"/><Relationship Id="rId90" Type="http://schemas.openxmlformats.org/officeDocument/2006/relationships/hyperlink" Target="https://www.google.com/maps/search/?api=1&amp;query=25.56092678,-103.50580745" TargetMode="External"/><Relationship Id="rId165" Type="http://schemas.openxmlformats.org/officeDocument/2006/relationships/hyperlink" Target="https://www.google.com/maps/search/?api=1&amp;query=25.54544008,-103.46076833" TargetMode="External"/><Relationship Id="rId186" Type="http://schemas.openxmlformats.org/officeDocument/2006/relationships/hyperlink" Target="https://www.google.com/maps/search/?api=1&amp;query=25.61335165,-103.38988837" TargetMode="External"/><Relationship Id="rId211" Type="http://schemas.openxmlformats.org/officeDocument/2006/relationships/hyperlink" Target="https://www.google.com/maps/search/?api=1&amp;query=24.40182102,-104.31748683" TargetMode="External"/><Relationship Id="rId27" Type="http://schemas.openxmlformats.org/officeDocument/2006/relationships/hyperlink" Target="https://www.google.com/maps/search/?api=1&amp;query=24.06309074,-104.60271746" TargetMode="External"/><Relationship Id="rId48" Type="http://schemas.openxmlformats.org/officeDocument/2006/relationships/hyperlink" Target="https://www.google.com/maps/search/?api=1&amp;query=24.00849853,-104.67952527" TargetMode="External"/><Relationship Id="rId69" Type="http://schemas.openxmlformats.org/officeDocument/2006/relationships/hyperlink" Target="https://www.google.com/maps/search/?api=1&amp;query=24.02712134,-104.62766073" TargetMode="External"/><Relationship Id="rId113" Type="http://schemas.openxmlformats.org/officeDocument/2006/relationships/hyperlink" Target="https://www.google.com/maps/search/?api=1&amp;query=25.55060959,-103.42768326" TargetMode="External"/><Relationship Id="rId134" Type="http://schemas.openxmlformats.org/officeDocument/2006/relationships/hyperlink" Target="https://www.google.com/maps/search/?api=1&amp;query=25.62426049,-103.3767054" TargetMode="External"/><Relationship Id="rId80" Type="http://schemas.openxmlformats.org/officeDocument/2006/relationships/hyperlink" Target="https://www.google.com/maps/search/?api=1&amp;query=25.59353688,-103.51364618" TargetMode="External"/><Relationship Id="rId155" Type="http://schemas.openxmlformats.org/officeDocument/2006/relationships/hyperlink" Target="https://www.google.com/maps/search/?api=1&amp;query=25.55878535,-103.43083827" TargetMode="External"/><Relationship Id="rId176" Type="http://schemas.openxmlformats.org/officeDocument/2006/relationships/hyperlink" Target="https://www.google.com/maps/search/?api=1&amp;query=25.59631556,-103.41331056" TargetMode="External"/><Relationship Id="rId197" Type="http://schemas.openxmlformats.org/officeDocument/2006/relationships/hyperlink" Target="https://www.google.com/maps/search/?api=1&amp;query=24.45084873,-104.11706588" TargetMode="External"/><Relationship Id="rId201" Type="http://schemas.openxmlformats.org/officeDocument/2006/relationships/hyperlink" Target="https://www.google.com/maps/search/?api=1&amp;query=23.47205101,-104.39716285" TargetMode="External"/><Relationship Id="rId222" Type="http://schemas.openxmlformats.org/officeDocument/2006/relationships/hyperlink" Target="https://www.google.com/maps/search/?api=1&amp;query=25.04819231,-105.41992085" TargetMode="External"/><Relationship Id="rId17" Type="http://schemas.openxmlformats.org/officeDocument/2006/relationships/hyperlink" Target="https://www.google.com/maps/search/?api=1&amp;query=24.02522176,-104.64193647" TargetMode="External"/><Relationship Id="rId38" Type="http://schemas.openxmlformats.org/officeDocument/2006/relationships/hyperlink" Target="https://www.google.com/maps/search/?api=1&amp;query=24.01082436,-104.62824609" TargetMode="External"/><Relationship Id="rId59" Type="http://schemas.openxmlformats.org/officeDocument/2006/relationships/hyperlink" Target="https://www.google.com/maps/search/?api=1&amp;query=24.02686232,-104.63094722" TargetMode="External"/><Relationship Id="rId103" Type="http://schemas.openxmlformats.org/officeDocument/2006/relationships/hyperlink" Target="https://www.google.com/maps/search/?api=1&amp;query=25.54195112,-103.50837609" TargetMode="External"/><Relationship Id="rId124" Type="http://schemas.openxmlformats.org/officeDocument/2006/relationships/hyperlink" Target="https://www.google.com/maps/search/?api=1&amp;query=25.54696944,-103.34127997" TargetMode="External"/><Relationship Id="rId70" Type="http://schemas.openxmlformats.org/officeDocument/2006/relationships/hyperlink" Target="https://www.google.com/maps/search/?api=1&amp;query=24.00441714,-104.65545239" TargetMode="External"/><Relationship Id="rId91" Type="http://schemas.openxmlformats.org/officeDocument/2006/relationships/hyperlink" Target="https://www.google.com/maps/search/?api=1&amp;query=25.56781991,-103.46732279" TargetMode="External"/><Relationship Id="rId145" Type="http://schemas.openxmlformats.org/officeDocument/2006/relationships/hyperlink" Target="https://www.google.com/maps/search/?api=1&amp;query=25.51612017,-103.39155618" TargetMode="External"/><Relationship Id="rId166" Type="http://schemas.openxmlformats.org/officeDocument/2006/relationships/hyperlink" Target="https://www.google.com/maps/search/?api=1&amp;query=25.54483611,-103.40077219" TargetMode="External"/><Relationship Id="rId187" Type="http://schemas.openxmlformats.org/officeDocument/2006/relationships/hyperlink" Target="https://www.google.com/maps/search/?api=1&amp;query=25.53240831,-103.23768814" TargetMode="External"/><Relationship Id="rId1" Type="http://schemas.openxmlformats.org/officeDocument/2006/relationships/hyperlink" Target="https://www.google.com/maps/search/?api=1&amp;query=24.00677066,-104.65478468" TargetMode="External"/><Relationship Id="rId212" Type="http://schemas.openxmlformats.org/officeDocument/2006/relationships/hyperlink" Target="https://www.google.com/maps/search/?api=1&amp;query=23.97160456,-104.04657466" TargetMode="External"/><Relationship Id="rId28" Type="http://schemas.openxmlformats.org/officeDocument/2006/relationships/hyperlink" Target="https://www.google.com/maps/search/?api=1&amp;query=24.0371468,-104.68168409" TargetMode="External"/><Relationship Id="rId49" Type="http://schemas.openxmlformats.org/officeDocument/2006/relationships/hyperlink" Target="https://www.google.com/maps/search/?api=1&amp;query=24.02022611,-104.63176367" TargetMode="External"/><Relationship Id="rId114" Type="http://schemas.openxmlformats.org/officeDocument/2006/relationships/hyperlink" Target="https://www.google.com/maps/search/?api=1&amp;query=25.57259319,-103.365843" TargetMode="External"/><Relationship Id="rId60" Type="http://schemas.openxmlformats.org/officeDocument/2006/relationships/hyperlink" Target="https://www.google.com/maps/search/?api=1&amp;query=23.99879578,-104.66432381" TargetMode="External"/><Relationship Id="rId81" Type="http://schemas.openxmlformats.org/officeDocument/2006/relationships/hyperlink" Target="https://www.google.com/maps/search/?api=1&amp;query=25.59166027,-103.50585312" TargetMode="External"/><Relationship Id="rId135" Type="http://schemas.openxmlformats.org/officeDocument/2006/relationships/hyperlink" Target="https://www.google.com/maps/search/?api=1&amp;query=25.52778387,-103.39847777" TargetMode="External"/><Relationship Id="rId156" Type="http://schemas.openxmlformats.org/officeDocument/2006/relationships/hyperlink" Target="https://www.google.com/maps/search/?api=1&amp;query=25.56449043,-103.43930762" TargetMode="External"/><Relationship Id="rId177" Type="http://schemas.openxmlformats.org/officeDocument/2006/relationships/hyperlink" Target="https://www.google.com/maps/search/?api=1&amp;query=25.51568756,-103.39127166" TargetMode="External"/><Relationship Id="rId198" Type="http://schemas.openxmlformats.org/officeDocument/2006/relationships/hyperlink" Target="https://www.google.com/maps/search/?api=1&amp;query=25.88880722,-103.62783845" TargetMode="External"/><Relationship Id="rId202" Type="http://schemas.openxmlformats.org/officeDocument/2006/relationships/hyperlink" Target="https://www.google.com/maps/search/?api=1&amp;query=25.22294506,-104.1119597" TargetMode="External"/><Relationship Id="rId223" Type="http://schemas.openxmlformats.org/officeDocument/2006/relationships/hyperlink" Target="https://www.google.com/maps/search/?api=1&amp;query=25.04707325,-105.42255313" TargetMode="External"/><Relationship Id="rId18" Type="http://schemas.openxmlformats.org/officeDocument/2006/relationships/hyperlink" Target="https://www.google.com/maps/search/?api=1&amp;query=24.00356999,-104.65010985" TargetMode="External"/><Relationship Id="rId39" Type="http://schemas.openxmlformats.org/officeDocument/2006/relationships/hyperlink" Target="https://www.google.com/maps/search/?api=1&amp;query=24.03000618,-104.6482369" TargetMode="External"/><Relationship Id="rId50" Type="http://schemas.openxmlformats.org/officeDocument/2006/relationships/hyperlink" Target="https://www.google.com/maps/search/?api=1&amp;query=24.0050496,-104.64756106" TargetMode="External"/><Relationship Id="rId104" Type="http://schemas.openxmlformats.org/officeDocument/2006/relationships/hyperlink" Target="https://www.google.com/maps/search/?api=1&amp;query=25.5353395,-103.52584977" TargetMode="External"/><Relationship Id="rId125" Type="http://schemas.openxmlformats.org/officeDocument/2006/relationships/hyperlink" Target="https://www.google.com/maps/search/?api=1&amp;query=25.62019044,-103.39144608" TargetMode="External"/><Relationship Id="rId146" Type="http://schemas.openxmlformats.org/officeDocument/2006/relationships/hyperlink" Target="https://www.google.com/maps/search/?api=1&amp;query=25.51644505,-103.41523602" TargetMode="External"/><Relationship Id="rId167" Type="http://schemas.openxmlformats.org/officeDocument/2006/relationships/hyperlink" Target="https://www.google.com/maps/search/?api=1&amp;query=25.50525232,-103.35611876" TargetMode="External"/><Relationship Id="rId188" Type="http://schemas.openxmlformats.org/officeDocument/2006/relationships/hyperlink" Target="https://www.google.com/maps/search/?api=1&amp;query=25.53382775,-103.25385292" TargetMode="External"/><Relationship Id="rId71" Type="http://schemas.openxmlformats.org/officeDocument/2006/relationships/hyperlink" Target="https://www.google.com/maps/search/?api=1&amp;query=24.01388297,-104.67925955" TargetMode="External"/><Relationship Id="rId92" Type="http://schemas.openxmlformats.org/officeDocument/2006/relationships/hyperlink" Target="https://www.google.com/maps/search/?api=1&amp;query=25.57034838,-103.48631721" TargetMode="External"/><Relationship Id="rId213" Type="http://schemas.openxmlformats.org/officeDocument/2006/relationships/hyperlink" Target="https://www.google.com/maps/search/?api=1&amp;query=23.97605287,-104.04380585" TargetMode="External"/><Relationship Id="rId2" Type="http://schemas.openxmlformats.org/officeDocument/2006/relationships/hyperlink" Target="https://www.google.com/maps/search/?api=1&amp;query=24.02644679,-104.64928561" TargetMode="External"/><Relationship Id="rId29" Type="http://schemas.openxmlformats.org/officeDocument/2006/relationships/hyperlink" Target="https://www.google.com/maps/search/?api=1&amp;query=24.05597932,-104.59721015" TargetMode="External"/><Relationship Id="rId40" Type="http://schemas.openxmlformats.org/officeDocument/2006/relationships/hyperlink" Target="https://www.google.com/maps/search/?api=1&amp;query=24.02534495,-104.65269207" TargetMode="External"/><Relationship Id="rId115" Type="http://schemas.openxmlformats.org/officeDocument/2006/relationships/hyperlink" Target="https://www.google.com/maps/search/?api=1&amp;query=25.56863671,-103.44562046" TargetMode="External"/><Relationship Id="rId136" Type="http://schemas.openxmlformats.org/officeDocument/2006/relationships/hyperlink" Target="https://www.google.com/maps/search/?api=1&amp;query=25.53642685,-103.39613074" TargetMode="External"/><Relationship Id="rId157" Type="http://schemas.openxmlformats.org/officeDocument/2006/relationships/hyperlink" Target="https://www.google.com/maps/search/?api=1&amp;query=25.52322347,-103.40313811" TargetMode="External"/><Relationship Id="rId178" Type="http://schemas.openxmlformats.org/officeDocument/2006/relationships/hyperlink" Target="https://www.google.com/maps/search/?api=1&amp;query=25.54488881,-103.42827045" TargetMode="External"/><Relationship Id="rId61" Type="http://schemas.openxmlformats.org/officeDocument/2006/relationships/hyperlink" Target="https://www.google.com/maps/search/?api=1&amp;query=24.04361165,-104.65990308" TargetMode="External"/><Relationship Id="rId82" Type="http://schemas.openxmlformats.org/officeDocument/2006/relationships/hyperlink" Target="https://www.google.com/maps/search/?api=1&amp;query=25.59112312,-103.49575296" TargetMode="External"/><Relationship Id="rId199" Type="http://schemas.openxmlformats.org/officeDocument/2006/relationships/hyperlink" Target="https://www.google.com/maps/search/?api=1&amp;query=25.83353351,-103.84427327" TargetMode="External"/><Relationship Id="rId203" Type="http://schemas.openxmlformats.org/officeDocument/2006/relationships/hyperlink" Target="https://www.google.com/maps/search/?api=1&amp;query=23.84496919,-104.24228047" TargetMode="External"/><Relationship Id="rId19" Type="http://schemas.openxmlformats.org/officeDocument/2006/relationships/hyperlink" Target="https://www.google.com/maps/search/?api=1&amp;query=23.9932369,-104.66296277" TargetMode="External"/><Relationship Id="rId224" Type="http://schemas.openxmlformats.org/officeDocument/2006/relationships/hyperlink" Target="https://www.google.com/maps/search/?api=1&amp;query=25.04531553,-105.41865063" TargetMode="External"/><Relationship Id="rId30" Type="http://schemas.openxmlformats.org/officeDocument/2006/relationships/hyperlink" Target="https://www.google.com/maps/search/?api=1&amp;query=24.04011694,-104.6844488" TargetMode="External"/><Relationship Id="rId105" Type="http://schemas.openxmlformats.org/officeDocument/2006/relationships/hyperlink" Target="https://www.google.com/maps/search/?api=1&amp;query=25.55219308,-103.51049808" TargetMode="External"/><Relationship Id="rId126" Type="http://schemas.openxmlformats.org/officeDocument/2006/relationships/hyperlink" Target="https://www.google.com/maps/search/?api=1&amp;query=25.56949433,-103.4384816" TargetMode="External"/><Relationship Id="rId147" Type="http://schemas.openxmlformats.org/officeDocument/2006/relationships/hyperlink" Target="https://www.google.com/maps/search/?api=1&amp;query=25.55165265,-103.37221967" TargetMode="External"/><Relationship Id="rId168" Type="http://schemas.openxmlformats.org/officeDocument/2006/relationships/hyperlink" Target="https://www.google.com/maps/search/?api=1&amp;query=25.56208934,-103.42585153" TargetMode="External"/><Relationship Id="rId51" Type="http://schemas.openxmlformats.org/officeDocument/2006/relationships/hyperlink" Target="https://www.google.com/maps/search/?api=1&amp;query=24.00211273,-104.65329852" TargetMode="External"/><Relationship Id="rId72" Type="http://schemas.openxmlformats.org/officeDocument/2006/relationships/hyperlink" Target="https://www.google.com/maps/search/?api=1&amp;query=23.99769988,-104.6491946" TargetMode="External"/><Relationship Id="rId93" Type="http://schemas.openxmlformats.org/officeDocument/2006/relationships/hyperlink" Target="https://www.google.com/maps/search/?api=1&amp;query=25.58486027,-103.49390819" TargetMode="External"/><Relationship Id="rId189" Type="http://schemas.openxmlformats.org/officeDocument/2006/relationships/hyperlink" Target="https://www.google.com/maps/search/?api=1&amp;query=25.53555072,-103.23860772" TargetMode="External"/><Relationship Id="rId3" Type="http://schemas.openxmlformats.org/officeDocument/2006/relationships/hyperlink" Target="https://www.google.com/maps/search/?api=1&amp;query=24.00614424,-104.6574159" TargetMode="External"/><Relationship Id="rId214" Type="http://schemas.openxmlformats.org/officeDocument/2006/relationships/hyperlink" Target="https://www.google.com/maps/search/?api=1&amp;query=23.97466502,-104.0519519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25.57171691,-103.44283009" TargetMode="External"/><Relationship Id="rId21" Type="http://schemas.openxmlformats.org/officeDocument/2006/relationships/hyperlink" Target="https://www.google.com/maps/search/?api=1&amp;query=24.04405003,-104.63569468" TargetMode="External"/><Relationship Id="rId42" Type="http://schemas.openxmlformats.org/officeDocument/2006/relationships/hyperlink" Target="https://www.google.com/maps/search/?api=1&amp;query=24.0199504,-104.65761611" TargetMode="External"/><Relationship Id="rId63" Type="http://schemas.openxmlformats.org/officeDocument/2006/relationships/hyperlink" Target="https://www.google.com/maps/search/?api=1&amp;query=24.03398105,-104.66433039" TargetMode="External"/><Relationship Id="rId84" Type="http://schemas.openxmlformats.org/officeDocument/2006/relationships/hyperlink" Target="https://www.google.com/maps/search/?api=1&amp;query=25.56316093,-103.50268459" TargetMode="External"/><Relationship Id="rId138" Type="http://schemas.openxmlformats.org/officeDocument/2006/relationships/hyperlink" Target="https://www.google.com/maps/search/?api=1&amp;query=25.59882233,-103.40274404" TargetMode="External"/><Relationship Id="rId159" Type="http://schemas.openxmlformats.org/officeDocument/2006/relationships/hyperlink" Target="https://www.google.com/maps/search/?api=1&amp;query=25.60232125,-103.40099214" TargetMode="External"/><Relationship Id="rId170" Type="http://schemas.openxmlformats.org/officeDocument/2006/relationships/hyperlink" Target="https://www.google.com/maps/search/?api=1&amp;query=24.44770742,-104.12537222" TargetMode="External"/><Relationship Id="rId107" Type="http://schemas.openxmlformats.org/officeDocument/2006/relationships/hyperlink" Target="https://www.google.com/maps/search/?api=1&amp;query=25.5468241,-103.39302606" TargetMode="External"/><Relationship Id="rId11" Type="http://schemas.openxmlformats.org/officeDocument/2006/relationships/hyperlink" Target="https://www.google.com/maps/search/?api=1&amp;query=24.05840369,-104.61961544" TargetMode="External"/><Relationship Id="rId32" Type="http://schemas.openxmlformats.org/officeDocument/2006/relationships/hyperlink" Target="https://www.google.com/maps/search/?api=1&amp;query=24.0646653,-104.62124264" TargetMode="External"/><Relationship Id="rId53" Type="http://schemas.openxmlformats.org/officeDocument/2006/relationships/hyperlink" Target="https://www.google.com/maps/search/?api=1&amp;query=24.0453024,-104.63172899" TargetMode="External"/><Relationship Id="rId74" Type="http://schemas.openxmlformats.org/officeDocument/2006/relationships/hyperlink" Target="https://www.google.com/maps/search/?api=1&amp;query=24.04982576,-104.63380284" TargetMode="External"/><Relationship Id="rId128" Type="http://schemas.openxmlformats.org/officeDocument/2006/relationships/hyperlink" Target="https://www.google.com/maps/search/?api=1&amp;query=25.55673779,-103.44874411" TargetMode="External"/><Relationship Id="rId149" Type="http://schemas.openxmlformats.org/officeDocument/2006/relationships/hyperlink" Target="https://www.google.com/maps/search/?api=1&amp;query=25.51917531,-103.40613231" TargetMode="External"/><Relationship Id="rId5" Type="http://schemas.openxmlformats.org/officeDocument/2006/relationships/hyperlink" Target="https://www.google.com/maps/search/?api=1&amp;query=24.0334981,-104.6397157" TargetMode="External"/><Relationship Id="rId95" Type="http://schemas.openxmlformats.org/officeDocument/2006/relationships/hyperlink" Target="https://www.google.com/maps/search/?api=1&amp;query=25.56910156,-103.49882213" TargetMode="External"/><Relationship Id="rId160" Type="http://schemas.openxmlformats.org/officeDocument/2006/relationships/hyperlink" Target="https://www.google.com/maps/search/?api=1&amp;query=25.57613928,-103.41202305" TargetMode="External"/><Relationship Id="rId181" Type="http://schemas.openxmlformats.org/officeDocument/2006/relationships/hyperlink" Target="https://www.google.com/maps/search/?api=1&amp;query=25.04655829,-105.41868831" TargetMode="External"/><Relationship Id="rId22" Type="http://schemas.openxmlformats.org/officeDocument/2006/relationships/hyperlink" Target="https://www.google.com/maps/search/?api=1&amp;query=24.04475601,-104.6364388" TargetMode="External"/><Relationship Id="rId43" Type="http://schemas.openxmlformats.org/officeDocument/2006/relationships/hyperlink" Target="https://www.google.com/maps/search/?api=1&amp;query=24.02994212,-104.65383523" TargetMode="External"/><Relationship Id="rId64" Type="http://schemas.openxmlformats.org/officeDocument/2006/relationships/hyperlink" Target="https://www.google.com/maps/search/?api=1&amp;query=24.04511861,-104.61507866" TargetMode="External"/><Relationship Id="rId118" Type="http://schemas.openxmlformats.org/officeDocument/2006/relationships/hyperlink" Target="https://www.google.com/maps/search/?api=1&amp;query=25.53977607,-103.35155422" TargetMode="External"/><Relationship Id="rId139" Type="http://schemas.openxmlformats.org/officeDocument/2006/relationships/hyperlink" Target="https://www.google.com/maps/search/?api=1&amp;query=25.5157846,-103.39155874" TargetMode="External"/><Relationship Id="rId85" Type="http://schemas.openxmlformats.org/officeDocument/2006/relationships/hyperlink" Target="https://www.google.com/maps/search/?api=1&amp;query=25.58681412,-103.47699614" TargetMode="External"/><Relationship Id="rId150" Type="http://schemas.openxmlformats.org/officeDocument/2006/relationships/hyperlink" Target="https://www.google.com/maps/search/?api=1&amp;query=25.53000018,-103.43127116" TargetMode="External"/><Relationship Id="rId171" Type="http://schemas.openxmlformats.org/officeDocument/2006/relationships/hyperlink" Target="https://www.google.com/maps/search/?api=1&amp;query=24.44527134,-104.12055544" TargetMode="External"/><Relationship Id="rId12" Type="http://schemas.openxmlformats.org/officeDocument/2006/relationships/hyperlink" Target="https://www.google.com/maps/search/?api=1&amp;query=24.04417693,-104.68958159" TargetMode="External"/><Relationship Id="rId33" Type="http://schemas.openxmlformats.org/officeDocument/2006/relationships/hyperlink" Target="https://www.google.com/maps/search/?api=1&amp;query=24.00932001,-104.70452725" TargetMode="External"/><Relationship Id="rId108" Type="http://schemas.openxmlformats.org/officeDocument/2006/relationships/hyperlink" Target="https://www.google.com/maps/search/?api=1&amp;query=25.59502201,-103.40456006" TargetMode="External"/><Relationship Id="rId129" Type="http://schemas.openxmlformats.org/officeDocument/2006/relationships/hyperlink" Target="https://www.google.com/maps/search/?api=1&amp;query=25.55803324,-103.38700409" TargetMode="External"/><Relationship Id="rId54" Type="http://schemas.openxmlformats.org/officeDocument/2006/relationships/hyperlink" Target="https://www.google.com/maps/search/?api=1&amp;query=24.04648735,-104.65239848" TargetMode="External"/><Relationship Id="rId75" Type="http://schemas.openxmlformats.org/officeDocument/2006/relationships/hyperlink" Target="https://www.google.com/maps/search/?api=1&amp;query=25.57138062,-103.45424108" TargetMode="External"/><Relationship Id="rId96" Type="http://schemas.openxmlformats.org/officeDocument/2006/relationships/hyperlink" Target="https://www.google.com/maps/search/?api=1&amp;query=25.55201962,-103.48924369" TargetMode="External"/><Relationship Id="rId140" Type="http://schemas.openxmlformats.org/officeDocument/2006/relationships/hyperlink" Target="https://www.google.com/maps/search/?api=1&amp;query=25.53963356,-103.32798606" TargetMode="External"/><Relationship Id="rId161" Type="http://schemas.openxmlformats.org/officeDocument/2006/relationships/hyperlink" Target="https://www.google.com/maps/search/?api=1&amp;query=25.52693117,-103.41546101" TargetMode="External"/><Relationship Id="rId182" Type="http://schemas.openxmlformats.org/officeDocument/2006/relationships/hyperlink" Target="https://www.google.com/maps/search/?api=1&amp;query=25.03042171,-105.42500475" TargetMode="External"/><Relationship Id="rId6" Type="http://schemas.openxmlformats.org/officeDocument/2006/relationships/hyperlink" Target="https://www.google.com/maps/search/?api=1&amp;query=24.01432806,-104.69055428" TargetMode="External"/><Relationship Id="rId23" Type="http://schemas.openxmlformats.org/officeDocument/2006/relationships/hyperlink" Target="https://www.google.com/maps/search/?api=1&amp;query=24.04237505,-104.68423847" TargetMode="External"/><Relationship Id="rId119" Type="http://schemas.openxmlformats.org/officeDocument/2006/relationships/hyperlink" Target="https://www.google.com/maps/search/?api=1&amp;query=25.51540123,-103.41387775" TargetMode="External"/><Relationship Id="rId44" Type="http://schemas.openxmlformats.org/officeDocument/2006/relationships/hyperlink" Target="https://www.google.com/maps/search/?api=1&amp;query=24.02883978,-104.66555971" TargetMode="External"/><Relationship Id="rId65" Type="http://schemas.openxmlformats.org/officeDocument/2006/relationships/hyperlink" Target="https://www.google.com/maps/search/?api=1&amp;query=24.02529282,-104.6495199" TargetMode="External"/><Relationship Id="rId86" Type="http://schemas.openxmlformats.org/officeDocument/2006/relationships/hyperlink" Target="https://www.google.com/maps/search/?api=1&amp;query=25.56963533,-103.49310184" TargetMode="External"/><Relationship Id="rId130" Type="http://schemas.openxmlformats.org/officeDocument/2006/relationships/hyperlink" Target="https://www.google.com/maps/search/?api=1&amp;query=25.51932515,-103.39626197" TargetMode="External"/><Relationship Id="rId151" Type="http://schemas.openxmlformats.org/officeDocument/2006/relationships/hyperlink" Target="https://www.google.com/maps/search/?api=1&amp;query=25.5131242,-103.40983434" TargetMode="External"/><Relationship Id="rId172" Type="http://schemas.openxmlformats.org/officeDocument/2006/relationships/hyperlink" Target="https://www.google.com/maps/search/?api=1&amp;query=24.4476996,-104.12160385" TargetMode="External"/><Relationship Id="rId13" Type="http://schemas.openxmlformats.org/officeDocument/2006/relationships/hyperlink" Target="https://www.google.com/maps/search/?api=1&amp;query=24.01799227,-104.69020704" TargetMode="External"/><Relationship Id="rId18" Type="http://schemas.openxmlformats.org/officeDocument/2006/relationships/hyperlink" Target="https://www.google.com/maps/search/?api=1&amp;query=24.03254933,-104.67902581" TargetMode="External"/><Relationship Id="rId39" Type="http://schemas.openxmlformats.org/officeDocument/2006/relationships/hyperlink" Target="https://www.google.com/maps/search/?api=1&amp;query=24.00370473,-104.60843434" TargetMode="External"/><Relationship Id="rId109" Type="http://schemas.openxmlformats.org/officeDocument/2006/relationships/hyperlink" Target="https://www.google.com/maps/search/?api=1&amp;query=25.57748446,-103.40871746" TargetMode="External"/><Relationship Id="rId34" Type="http://schemas.openxmlformats.org/officeDocument/2006/relationships/hyperlink" Target="https://www.google.com/maps/search/?api=1&amp;query=24.01985882,-104.63837896" TargetMode="External"/><Relationship Id="rId50" Type="http://schemas.openxmlformats.org/officeDocument/2006/relationships/hyperlink" Target="https://www.google.com/maps/search/?api=1&amp;query=24.00934386,-104.70371759" TargetMode="External"/><Relationship Id="rId55" Type="http://schemas.openxmlformats.org/officeDocument/2006/relationships/hyperlink" Target="https://www.google.com/maps/search/?api=1&amp;query=24.03905606,-104.65562971" TargetMode="External"/><Relationship Id="rId76" Type="http://schemas.openxmlformats.org/officeDocument/2006/relationships/hyperlink" Target="https://www.google.com/maps/search/?api=1&amp;query=25.56558359,-103.4834815" TargetMode="External"/><Relationship Id="rId97" Type="http://schemas.openxmlformats.org/officeDocument/2006/relationships/hyperlink" Target="https://www.google.com/maps/search/?api=1&amp;query=25.54948899,-103.50255578" TargetMode="External"/><Relationship Id="rId104" Type="http://schemas.openxmlformats.org/officeDocument/2006/relationships/hyperlink" Target="https://www.google.com/maps/search/?api=1&amp;query=25.53966712,-103.43543233" TargetMode="External"/><Relationship Id="rId120" Type="http://schemas.openxmlformats.org/officeDocument/2006/relationships/hyperlink" Target="https://www.google.com/maps/search/?api=1&amp;query=25.54893124,-103.35498627" TargetMode="External"/><Relationship Id="rId125" Type="http://schemas.openxmlformats.org/officeDocument/2006/relationships/hyperlink" Target="https://www.google.com/maps/search/?api=1&amp;query=25.52020821,-103.40533395" TargetMode="External"/><Relationship Id="rId141" Type="http://schemas.openxmlformats.org/officeDocument/2006/relationships/hyperlink" Target="https://www.google.com/maps/search/?api=1&amp;query=25.53960995,-103.35881164" TargetMode="External"/><Relationship Id="rId146" Type="http://schemas.openxmlformats.org/officeDocument/2006/relationships/hyperlink" Target="https://www.google.com/maps/search/?api=1&amp;query=25.53676308,-103.44551662" TargetMode="External"/><Relationship Id="rId167" Type="http://schemas.openxmlformats.org/officeDocument/2006/relationships/hyperlink" Target="https://www.google.com/maps/search/?api=1&amp;query=24.86677146,-103.69281875" TargetMode="External"/><Relationship Id="rId7" Type="http://schemas.openxmlformats.org/officeDocument/2006/relationships/hyperlink" Target="https://www.google.com/maps/search/?api=1&amp;query=24.09865529,-104.57596944" TargetMode="External"/><Relationship Id="rId71" Type="http://schemas.openxmlformats.org/officeDocument/2006/relationships/hyperlink" Target="https://www.google.com/maps/search/?api=1&amp;query=24.04121493,-104.66888068" TargetMode="External"/><Relationship Id="rId92" Type="http://schemas.openxmlformats.org/officeDocument/2006/relationships/hyperlink" Target="https://www.google.com/maps/search/?api=1&amp;query=25.56113762,-103.50725744" TargetMode="External"/><Relationship Id="rId162" Type="http://schemas.openxmlformats.org/officeDocument/2006/relationships/hyperlink" Target="https://www.google.com/maps/search/?api=1&amp;query=25.61745218,-103.39214305" TargetMode="External"/><Relationship Id="rId183" Type="http://schemas.openxmlformats.org/officeDocument/2006/relationships/hyperlink" Target="https://www.google.com/maps/search/?api=1&amp;query=25.33456018,-105.72080479" TargetMode="External"/><Relationship Id="rId2" Type="http://schemas.openxmlformats.org/officeDocument/2006/relationships/hyperlink" Target="https://www.google.com/maps/search/?api=1&amp;query=23.99639426,-104.66901784" TargetMode="External"/><Relationship Id="rId29" Type="http://schemas.openxmlformats.org/officeDocument/2006/relationships/hyperlink" Target="https://www.google.com/maps/search/?api=1&amp;query=24.05311485,-104.60697051" TargetMode="External"/><Relationship Id="rId24" Type="http://schemas.openxmlformats.org/officeDocument/2006/relationships/hyperlink" Target="https://www.google.com/maps/search/?api=1&amp;query=24.00972282,-104.71069331" TargetMode="External"/><Relationship Id="rId40" Type="http://schemas.openxmlformats.org/officeDocument/2006/relationships/hyperlink" Target="https://www.google.com/maps/search/?api=1&amp;query=24.00915438,-104.70212216" TargetMode="External"/><Relationship Id="rId45" Type="http://schemas.openxmlformats.org/officeDocument/2006/relationships/hyperlink" Target="https://www.google.com/maps/search/?api=1&amp;query=24.01216727,-104.6910437" TargetMode="External"/><Relationship Id="rId66" Type="http://schemas.openxmlformats.org/officeDocument/2006/relationships/hyperlink" Target="https://www.google.com/maps/search/?api=1&amp;query=24.01722308,-104.65073846" TargetMode="External"/><Relationship Id="rId87" Type="http://schemas.openxmlformats.org/officeDocument/2006/relationships/hyperlink" Target="https://www.google.com/maps/search/?api=1&amp;query=25.56619053,-103.49936328" TargetMode="External"/><Relationship Id="rId110" Type="http://schemas.openxmlformats.org/officeDocument/2006/relationships/hyperlink" Target="https://www.google.com/maps/search/?api=1&amp;query=25.54438399,-103.38178917" TargetMode="External"/><Relationship Id="rId115" Type="http://schemas.openxmlformats.org/officeDocument/2006/relationships/hyperlink" Target="https://www.google.com/maps/search/?api=1&amp;query=25.54030562,-103.39347563" TargetMode="External"/><Relationship Id="rId131" Type="http://schemas.openxmlformats.org/officeDocument/2006/relationships/hyperlink" Target="https://www.google.com/maps/search/?api=1&amp;query=25.53894219,-103.4162351" TargetMode="External"/><Relationship Id="rId136" Type="http://schemas.openxmlformats.org/officeDocument/2006/relationships/hyperlink" Target="https://www.google.com/maps/search/?api=1&amp;query=25.53093943,-103.41543641" TargetMode="External"/><Relationship Id="rId157" Type="http://schemas.openxmlformats.org/officeDocument/2006/relationships/hyperlink" Target="https://www.google.com/maps/search/?api=1&amp;query=25.53869871,-103.45699634" TargetMode="External"/><Relationship Id="rId178" Type="http://schemas.openxmlformats.org/officeDocument/2006/relationships/hyperlink" Target="https://www.google.com/maps/search/?api=1&amp;query=24.10462693,-105.93043856" TargetMode="External"/><Relationship Id="rId61" Type="http://schemas.openxmlformats.org/officeDocument/2006/relationships/hyperlink" Target="https://www.google.com/maps/search/?api=1&amp;query=24.04121285,-104.63307581" TargetMode="External"/><Relationship Id="rId82" Type="http://schemas.openxmlformats.org/officeDocument/2006/relationships/hyperlink" Target="https://www.google.com/maps/search/?api=1&amp;query=25.55923,-103.50601945" TargetMode="External"/><Relationship Id="rId152" Type="http://schemas.openxmlformats.org/officeDocument/2006/relationships/hyperlink" Target="https://www.google.com/maps/search/?api=1&amp;query=25.55907919,-103.39482315" TargetMode="External"/><Relationship Id="rId173" Type="http://schemas.openxmlformats.org/officeDocument/2006/relationships/hyperlink" Target="https://www.google.com/maps/search/?api=1&amp;query=25.9324825,-105.956364" TargetMode="External"/><Relationship Id="rId19" Type="http://schemas.openxmlformats.org/officeDocument/2006/relationships/hyperlink" Target="https://www.google.com/maps/search/?api=1&amp;query=24.02004705,-104.64114054" TargetMode="External"/><Relationship Id="rId14" Type="http://schemas.openxmlformats.org/officeDocument/2006/relationships/hyperlink" Target="https://www.google.com/maps/search/?api=1&amp;query=24.05684482,-104.58707387" TargetMode="External"/><Relationship Id="rId30" Type="http://schemas.openxmlformats.org/officeDocument/2006/relationships/hyperlink" Target="https://www.google.com/maps/search/?api=1&amp;query=24.03776923,-104.63628045" TargetMode="External"/><Relationship Id="rId35" Type="http://schemas.openxmlformats.org/officeDocument/2006/relationships/hyperlink" Target="https://www.google.com/maps/search/?api=1&amp;query=24.03223888,-104.63238859" TargetMode="External"/><Relationship Id="rId56" Type="http://schemas.openxmlformats.org/officeDocument/2006/relationships/hyperlink" Target="https://www.google.com/maps/search/?api=1&amp;query=24.02423875,-104.65649709" TargetMode="External"/><Relationship Id="rId77" Type="http://schemas.openxmlformats.org/officeDocument/2006/relationships/hyperlink" Target="https://www.google.com/maps/search/?api=1&amp;query=25.59590573,-103.50700935" TargetMode="External"/><Relationship Id="rId100" Type="http://schemas.openxmlformats.org/officeDocument/2006/relationships/hyperlink" Target="https://www.google.com/maps/search/?api=1&amp;query=25.56233091,-103.43023904" TargetMode="External"/><Relationship Id="rId105" Type="http://schemas.openxmlformats.org/officeDocument/2006/relationships/hyperlink" Target="https://www.google.com/maps/search/?api=1&amp;query=25.53824084,-103.44198562" TargetMode="External"/><Relationship Id="rId126" Type="http://schemas.openxmlformats.org/officeDocument/2006/relationships/hyperlink" Target="https://www.google.com/maps/search/?api=1&amp;query=25.56494945,-103.4443759" TargetMode="External"/><Relationship Id="rId147" Type="http://schemas.openxmlformats.org/officeDocument/2006/relationships/hyperlink" Target="https://www.google.com/maps/search/?api=1&amp;query=25.5525456,-103.43555524" TargetMode="External"/><Relationship Id="rId168" Type="http://schemas.openxmlformats.org/officeDocument/2006/relationships/hyperlink" Target="https://www.google.com/maps/search/?api=1&amp;query=24.86992682,-103.69525602" TargetMode="External"/><Relationship Id="rId8" Type="http://schemas.openxmlformats.org/officeDocument/2006/relationships/hyperlink" Target="https://www.google.com/maps/search/?api=1&amp;query=24.01044675,-104.69064634" TargetMode="External"/><Relationship Id="rId51" Type="http://schemas.openxmlformats.org/officeDocument/2006/relationships/hyperlink" Target="https://www.google.com/maps/search/?api=1&amp;query=24.02988732,-104.67279491" TargetMode="External"/><Relationship Id="rId72" Type="http://schemas.openxmlformats.org/officeDocument/2006/relationships/hyperlink" Target="https://www.google.com/maps/search/?api=1&amp;query=24.05705349,-104.61203229" TargetMode="External"/><Relationship Id="rId93" Type="http://schemas.openxmlformats.org/officeDocument/2006/relationships/hyperlink" Target="https://www.google.com/maps/search/?api=1&amp;query=25.55555775,-103.50402759" TargetMode="External"/><Relationship Id="rId98" Type="http://schemas.openxmlformats.org/officeDocument/2006/relationships/hyperlink" Target="https://www.google.com/maps/search/?api=1&amp;query=25.54759879,-103.5320818" TargetMode="External"/><Relationship Id="rId121" Type="http://schemas.openxmlformats.org/officeDocument/2006/relationships/hyperlink" Target="https://www.google.com/maps/search/?api=1&amp;query=25.54222456,-103.35850507" TargetMode="External"/><Relationship Id="rId142" Type="http://schemas.openxmlformats.org/officeDocument/2006/relationships/hyperlink" Target="https://www.google.com/maps/search/?api=1&amp;query=25.54649392,-103.35926278" TargetMode="External"/><Relationship Id="rId163" Type="http://schemas.openxmlformats.org/officeDocument/2006/relationships/hyperlink" Target="https://www.google.com/maps/search/?api=1&amp;query=25.5791206,-103.40429431" TargetMode="External"/><Relationship Id="rId184" Type="http://schemas.openxmlformats.org/officeDocument/2006/relationships/hyperlink" Target="https://www.google.com/maps/search/?api=1&amp;query=25.34402331,-105.72321724" TargetMode="External"/><Relationship Id="rId3" Type="http://schemas.openxmlformats.org/officeDocument/2006/relationships/hyperlink" Target="https://www.google.com/maps/search/?api=1&amp;query=24.000495,-104.64061478" TargetMode="External"/><Relationship Id="rId25" Type="http://schemas.openxmlformats.org/officeDocument/2006/relationships/hyperlink" Target="https://www.google.com/maps/search/?api=1&amp;query=24.04096054,-104.59921719" TargetMode="External"/><Relationship Id="rId46" Type="http://schemas.openxmlformats.org/officeDocument/2006/relationships/hyperlink" Target="https://www.google.com/maps/search/?api=1&amp;query=24.00591018,-104.65227589" TargetMode="External"/><Relationship Id="rId67" Type="http://schemas.openxmlformats.org/officeDocument/2006/relationships/hyperlink" Target="https://www.google.com/maps/search/?api=1&amp;query=24.02079162,-104.61475903" TargetMode="External"/><Relationship Id="rId116" Type="http://schemas.openxmlformats.org/officeDocument/2006/relationships/hyperlink" Target="https://www.google.com/maps/search/?api=1&amp;query=25.54068927,-103.38526948" TargetMode="External"/><Relationship Id="rId137" Type="http://schemas.openxmlformats.org/officeDocument/2006/relationships/hyperlink" Target="https://www.google.com/maps/search/?api=1&amp;query=25.56945327,-103.43257961" TargetMode="External"/><Relationship Id="rId158" Type="http://schemas.openxmlformats.org/officeDocument/2006/relationships/hyperlink" Target="https://www.google.com/maps/search/?api=1&amp;query=25.52152812,-103.40611662" TargetMode="External"/><Relationship Id="rId20" Type="http://schemas.openxmlformats.org/officeDocument/2006/relationships/hyperlink" Target="https://www.google.com/maps/search/?api=1&amp;query=24.04128512,-104.64969332" TargetMode="External"/><Relationship Id="rId41" Type="http://schemas.openxmlformats.org/officeDocument/2006/relationships/hyperlink" Target="https://www.google.com/maps/search/?api=1&amp;query=24.06219197,-104.59547884" TargetMode="External"/><Relationship Id="rId62" Type="http://schemas.openxmlformats.org/officeDocument/2006/relationships/hyperlink" Target="https://www.google.com/maps/search/?api=1&amp;query=24.00860173,-104.6658841" TargetMode="External"/><Relationship Id="rId83" Type="http://schemas.openxmlformats.org/officeDocument/2006/relationships/hyperlink" Target="https://www.google.com/maps/search/?api=1&amp;query=25.58350089,-103.51408894" TargetMode="External"/><Relationship Id="rId88" Type="http://schemas.openxmlformats.org/officeDocument/2006/relationships/hyperlink" Target="https://www.google.com/maps/search/?api=1&amp;query=25.59648132,-103.49429044" TargetMode="External"/><Relationship Id="rId111" Type="http://schemas.openxmlformats.org/officeDocument/2006/relationships/hyperlink" Target="https://www.google.com/maps/search/?api=1&amp;query=25.53932187,-103.34844844" TargetMode="External"/><Relationship Id="rId132" Type="http://schemas.openxmlformats.org/officeDocument/2006/relationships/hyperlink" Target="https://www.google.com/maps/search/?api=1&amp;query=25.54292228,-103.35810596" TargetMode="External"/><Relationship Id="rId153" Type="http://schemas.openxmlformats.org/officeDocument/2006/relationships/hyperlink" Target="https://www.google.com/maps/search/?api=1&amp;query=25.56264585,-103.43114457" TargetMode="External"/><Relationship Id="rId174" Type="http://schemas.openxmlformats.org/officeDocument/2006/relationships/hyperlink" Target="https://www.google.com/maps/search/?api=1&amp;query=24.88737481,-105.07143952" TargetMode="External"/><Relationship Id="rId179" Type="http://schemas.openxmlformats.org/officeDocument/2006/relationships/hyperlink" Target="https://www.google.com/maps/search/?api=1&amp;query=24.77834357,-104.46424406" TargetMode="External"/><Relationship Id="rId15" Type="http://schemas.openxmlformats.org/officeDocument/2006/relationships/hyperlink" Target="https://www.google.com/maps/search/?api=1&amp;query=24.032086,-104.6535385" TargetMode="External"/><Relationship Id="rId36" Type="http://schemas.openxmlformats.org/officeDocument/2006/relationships/hyperlink" Target="https://www.google.com/maps/search/?api=1&amp;query=24.04448957,-104.63158665" TargetMode="External"/><Relationship Id="rId57" Type="http://schemas.openxmlformats.org/officeDocument/2006/relationships/hyperlink" Target="https://www.google.com/maps/search/?api=1&amp;query=24.02210102,-104.65502326" TargetMode="External"/><Relationship Id="rId106" Type="http://schemas.openxmlformats.org/officeDocument/2006/relationships/hyperlink" Target="https://www.google.com/maps/search/?api=1&amp;query=25.52787166,-103.40023597" TargetMode="External"/><Relationship Id="rId127" Type="http://schemas.openxmlformats.org/officeDocument/2006/relationships/hyperlink" Target="https://www.google.com/maps/search/?api=1&amp;query=25.53974967,-103.45910619" TargetMode="External"/><Relationship Id="rId10" Type="http://schemas.openxmlformats.org/officeDocument/2006/relationships/hyperlink" Target="https://www.google.com/maps/search/?api=1&amp;query=24.04500128,-104.61953057" TargetMode="External"/><Relationship Id="rId31" Type="http://schemas.openxmlformats.org/officeDocument/2006/relationships/hyperlink" Target="https://www.google.com/maps/search/?api=1&amp;query=24.02507385,-104.64403625" TargetMode="External"/><Relationship Id="rId52" Type="http://schemas.openxmlformats.org/officeDocument/2006/relationships/hyperlink" Target="https://www.google.com/maps/search/?api=1&amp;query=24.04257226,-104.6865527" TargetMode="External"/><Relationship Id="rId73" Type="http://schemas.openxmlformats.org/officeDocument/2006/relationships/hyperlink" Target="https://www.google.com/maps/search/?api=1&amp;query=24.03493184,-104.65304392" TargetMode="External"/><Relationship Id="rId78" Type="http://schemas.openxmlformats.org/officeDocument/2006/relationships/hyperlink" Target="https://www.google.com/maps/search/?api=1&amp;query=25.56426183,-103.50929926" TargetMode="External"/><Relationship Id="rId94" Type="http://schemas.openxmlformats.org/officeDocument/2006/relationships/hyperlink" Target="https://www.google.com/maps/search/?api=1&amp;query=25.5593998,-103.4976415" TargetMode="External"/><Relationship Id="rId99" Type="http://schemas.openxmlformats.org/officeDocument/2006/relationships/hyperlink" Target="https://www.google.com/maps/search/?api=1&amp;query=25.52046953,-103.52860541" TargetMode="External"/><Relationship Id="rId101" Type="http://schemas.openxmlformats.org/officeDocument/2006/relationships/hyperlink" Target="https://www.google.com/maps/search/?api=1&amp;query=25.55091143,-103.42683197" TargetMode="External"/><Relationship Id="rId122" Type="http://schemas.openxmlformats.org/officeDocument/2006/relationships/hyperlink" Target="https://www.google.com/maps/search/?api=1&amp;query=25.51169979,-103.41665835" TargetMode="External"/><Relationship Id="rId143" Type="http://schemas.openxmlformats.org/officeDocument/2006/relationships/hyperlink" Target="https://www.google.com/maps/search/?api=1&amp;query=25.60157088,-103.36828651" TargetMode="External"/><Relationship Id="rId148" Type="http://schemas.openxmlformats.org/officeDocument/2006/relationships/hyperlink" Target="https://www.google.com/maps/search/?api=1&amp;query=25.52509921,-103.41524104" TargetMode="External"/><Relationship Id="rId164" Type="http://schemas.openxmlformats.org/officeDocument/2006/relationships/hyperlink" Target="https://www.google.com/maps/search/?api=1&amp;query=25.54519041,-103.44846421" TargetMode="External"/><Relationship Id="rId169" Type="http://schemas.openxmlformats.org/officeDocument/2006/relationships/hyperlink" Target="https://www.google.com/maps/search/?api=1&amp;query=25.9497091,-105.36536488" TargetMode="External"/><Relationship Id="rId185" Type="http://schemas.openxmlformats.org/officeDocument/2006/relationships/hyperlink" Target="https://www.google.com/maps/search/?api=1&amp;query=23.73106341,-103.98647024" TargetMode="External"/><Relationship Id="rId4" Type="http://schemas.openxmlformats.org/officeDocument/2006/relationships/hyperlink" Target="https://www.google.com/maps/search/?api=1&amp;query=24.0468929,-104.61904692" TargetMode="External"/><Relationship Id="rId9" Type="http://schemas.openxmlformats.org/officeDocument/2006/relationships/hyperlink" Target="https://www.google.com/maps/search/?api=1&amp;query=24.0025175,-104.65352235" TargetMode="External"/><Relationship Id="rId180" Type="http://schemas.openxmlformats.org/officeDocument/2006/relationships/hyperlink" Target="https://www.google.com/maps/search/?api=1&amp;query=25.0400761,-105.42047248" TargetMode="External"/><Relationship Id="rId26" Type="http://schemas.openxmlformats.org/officeDocument/2006/relationships/hyperlink" Target="https://www.google.com/maps/search/?api=1&amp;query=23.99798583,-104.64248581" TargetMode="External"/><Relationship Id="rId47" Type="http://schemas.openxmlformats.org/officeDocument/2006/relationships/hyperlink" Target="https://www.google.com/maps/search/?api=1&amp;query=24.06215762,-104.61714125" TargetMode="External"/><Relationship Id="rId68" Type="http://schemas.openxmlformats.org/officeDocument/2006/relationships/hyperlink" Target="https://www.google.com/maps/search/?api=1&amp;query=24.01205224,-104.65162415" TargetMode="External"/><Relationship Id="rId89" Type="http://schemas.openxmlformats.org/officeDocument/2006/relationships/hyperlink" Target="https://www.google.com/maps/search/?api=1&amp;query=25.5781231,-103.47053184" TargetMode="External"/><Relationship Id="rId112" Type="http://schemas.openxmlformats.org/officeDocument/2006/relationships/hyperlink" Target="https://www.google.com/maps/search/?api=1&amp;query=25.54386714,-103.4463757" TargetMode="External"/><Relationship Id="rId133" Type="http://schemas.openxmlformats.org/officeDocument/2006/relationships/hyperlink" Target="https://www.google.com/maps/search/?api=1&amp;query=25.55546841,-103.36406347" TargetMode="External"/><Relationship Id="rId154" Type="http://schemas.openxmlformats.org/officeDocument/2006/relationships/hyperlink" Target="https://www.google.com/maps/search/?api=1&amp;query=25.56714915,-103.38322356" TargetMode="External"/><Relationship Id="rId175" Type="http://schemas.openxmlformats.org/officeDocument/2006/relationships/hyperlink" Target="https://www.google.com/maps/search/?api=1&amp;query=24.4028574,-104.32036862" TargetMode="External"/><Relationship Id="rId16" Type="http://schemas.openxmlformats.org/officeDocument/2006/relationships/hyperlink" Target="https://www.google.com/maps/search/?api=1&amp;query=24.04351421,-104.62224223" TargetMode="External"/><Relationship Id="rId37" Type="http://schemas.openxmlformats.org/officeDocument/2006/relationships/hyperlink" Target="https://www.google.com/maps/search/?api=1&amp;query=24.01059112,-104.67523744" TargetMode="External"/><Relationship Id="rId58" Type="http://schemas.openxmlformats.org/officeDocument/2006/relationships/hyperlink" Target="https://www.google.com/maps/search/?api=1&amp;query=24.00320842,-104.64374461" TargetMode="External"/><Relationship Id="rId79" Type="http://schemas.openxmlformats.org/officeDocument/2006/relationships/hyperlink" Target="https://www.google.com/maps/search/?api=1&amp;query=25.59653612,-103.4978465" TargetMode="External"/><Relationship Id="rId102" Type="http://schemas.openxmlformats.org/officeDocument/2006/relationships/hyperlink" Target="https://www.google.com/maps/search/?api=1&amp;query=25.57058725,-103.42091342" TargetMode="External"/><Relationship Id="rId123" Type="http://schemas.openxmlformats.org/officeDocument/2006/relationships/hyperlink" Target="https://www.google.com/maps/search/?api=1&amp;query=25.51720468,-103.4171363" TargetMode="External"/><Relationship Id="rId144" Type="http://schemas.openxmlformats.org/officeDocument/2006/relationships/hyperlink" Target="https://www.google.com/maps/search/?api=1&amp;query=25.54648902,-103.34241368" TargetMode="External"/><Relationship Id="rId90" Type="http://schemas.openxmlformats.org/officeDocument/2006/relationships/hyperlink" Target="https://www.google.com/maps/search/?api=1&amp;query=25.55252911,-103.46531396" TargetMode="External"/><Relationship Id="rId165" Type="http://schemas.openxmlformats.org/officeDocument/2006/relationships/hyperlink" Target="https://www.google.com/maps/search/?api=1&amp;query=24.52653758,-104.77486556" TargetMode="External"/><Relationship Id="rId27" Type="http://schemas.openxmlformats.org/officeDocument/2006/relationships/hyperlink" Target="https://www.google.com/maps/search/?api=1&amp;query=24.04365135,-104.68075304" TargetMode="External"/><Relationship Id="rId48" Type="http://schemas.openxmlformats.org/officeDocument/2006/relationships/hyperlink" Target="https://www.google.com/maps/search/?api=1&amp;query=24.00009153,-104.70048085" TargetMode="External"/><Relationship Id="rId69" Type="http://schemas.openxmlformats.org/officeDocument/2006/relationships/hyperlink" Target="https://www.google.com/maps/search/?api=1&amp;query=24.01327783,-104.67553719" TargetMode="External"/><Relationship Id="rId113" Type="http://schemas.openxmlformats.org/officeDocument/2006/relationships/hyperlink" Target="https://www.google.com/maps/search/?api=1&amp;query=25.54843053,-103.45942111" TargetMode="External"/><Relationship Id="rId134" Type="http://schemas.openxmlformats.org/officeDocument/2006/relationships/hyperlink" Target="https://www.google.com/maps/search/?api=1&amp;query=25.5726623,-103.42482058" TargetMode="External"/><Relationship Id="rId80" Type="http://schemas.openxmlformats.org/officeDocument/2006/relationships/hyperlink" Target="https://www.google.com/maps/search/?api=1&amp;query=25.56755609,-103.50343335" TargetMode="External"/><Relationship Id="rId155" Type="http://schemas.openxmlformats.org/officeDocument/2006/relationships/hyperlink" Target="https://www.google.com/maps/search/?api=1&amp;query=25.54683891,-103.43697134" TargetMode="External"/><Relationship Id="rId176" Type="http://schemas.openxmlformats.org/officeDocument/2006/relationships/hyperlink" Target="https://www.google.com/maps/search/?api=1&amp;query=23.97310657,-104.04571802" TargetMode="External"/><Relationship Id="rId17" Type="http://schemas.openxmlformats.org/officeDocument/2006/relationships/hyperlink" Target="https://www.google.com/maps/search/?api=1&amp;query=24.00548836,-104.64406485" TargetMode="External"/><Relationship Id="rId38" Type="http://schemas.openxmlformats.org/officeDocument/2006/relationships/hyperlink" Target="https://www.google.com/maps/search/?api=1&amp;query=24.00944862,-104.66380368" TargetMode="External"/><Relationship Id="rId59" Type="http://schemas.openxmlformats.org/officeDocument/2006/relationships/hyperlink" Target="https://www.google.com/maps/search/?api=1&amp;query=24.04308726,-104.65432295" TargetMode="External"/><Relationship Id="rId103" Type="http://schemas.openxmlformats.org/officeDocument/2006/relationships/hyperlink" Target="https://www.google.com/maps/search/?api=1&amp;query=25.53803573,-103.4266854" TargetMode="External"/><Relationship Id="rId124" Type="http://schemas.openxmlformats.org/officeDocument/2006/relationships/hyperlink" Target="https://www.google.com/maps/search/?api=1&amp;query=25.54657004,-103.43646228" TargetMode="External"/><Relationship Id="rId70" Type="http://schemas.openxmlformats.org/officeDocument/2006/relationships/hyperlink" Target="https://www.google.com/maps/search/?api=1&amp;query=24.0562016,-104.5980168" TargetMode="External"/><Relationship Id="rId91" Type="http://schemas.openxmlformats.org/officeDocument/2006/relationships/hyperlink" Target="https://www.google.com/maps/search/?api=1&amp;query=25.5830297,-103.49452756" TargetMode="External"/><Relationship Id="rId145" Type="http://schemas.openxmlformats.org/officeDocument/2006/relationships/hyperlink" Target="https://www.google.com/maps/search/?api=1&amp;query=25.54856677,-103.43433803" TargetMode="External"/><Relationship Id="rId166" Type="http://schemas.openxmlformats.org/officeDocument/2006/relationships/hyperlink" Target="https://www.google.com/maps/search/?api=1&amp;query=24.5273423,-104.77610299" TargetMode="External"/><Relationship Id="rId1" Type="http://schemas.openxmlformats.org/officeDocument/2006/relationships/hyperlink" Target="https://www.google.com/maps/search/?api=1&amp;query=24.00315709,-104.63794414" TargetMode="External"/><Relationship Id="rId28" Type="http://schemas.openxmlformats.org/officeDocument/2006/relationships/hyperlink" Target="https://www.google.com/maps/search/?api=1&amp;query=24.00092803,-104.65186396" TargetMode="External"/><Relationship Id="rId49" Type="http://schemas.openxmlformats.org/officeDocument/2006/relationships/hyperlink" Target="https://www.google.com/maps/search/?api=1&amp;query=23.99310456,-104.69271451" TargetMode="External"/><Relationship Id="rId114" Type="http://schemas.openxmlformats.org/officeDocument/2006/relationships/hyperlink" Target="https://www.google.com/maps/search/?api=1&amp;query=25.53597318,-103.41853531" TargetMode="External"/><Relationship Id="rId60" Type="http://schemas.openxmlformats.org/officeDocument/2006/relationships/hyperlink" Target="https://www.google.com/maps/search/?api=1&amp;query=24.0547496,-104.62138404" TargetMode="External"/><Relationship Id="rId81" Type="http://schemas.openxmlformats.org/officeDocument/2006/relationships/hyperlink" Target="https://www.google.com/maps/search/?api=1&amp;query=25.55320167,-103.4918192" TargetMode="External"/><Relationship Id="rId135" Type="http://schemas.openxmlformats.org/officeDocument/2006/relationships/hyperlink" Target="https://www.google.com/maps/search/?api=1&amp;query=25.57112785,-103.43157657" TargetMode="External"/><Relationship Id="rId156" Type="http://schemas.openxmlformats.org/officeDocument/2006/relationships/hyperlink" Target="https://www.google.com/maps/search/?api=1&amp;query=25.5354442,-103.41797848" TargetMode="External"/><Relationship Id="rId177" Type="http://schemas.openxmlformats.org/officeDocument/2006/relationships/hyperlink" Target="https://www.google.com/maps/search/?api=1&amp;query=23.72769392,-105.69206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showGridLines="0" tabSelected="1" workbookViewId="0"/>
  </sheetViews>
  <sheetFormatPr baseColWidth="10" defaultColWidth="8.88671875" defaultRowHeight="14.4" x14ac:dyDescent="0.3"/>
  <cols>
    <col min="1" max="1" width="30" customWidth="1"/>
    <col min="2" max="5" width="16" customWidth="1"/>
  </cols>
  <sheetData>
    <row r="1" spans="1:5" ht="24.6" x14ac:dyDescent="0.4">
      <c r="A1" s="1" t="s">
        <v>0</v>
      </c>
    </row>
    <row r="2" spans="1:5" x14ac:dyDescent="0.3">
      <c r="A2" s="2" t="s">
        <v>1</v>
      </c>
    </row>
    <row r="4" spans="1:5" ht="33" x14ac:dyDescent="0.6">
      <c r="A4" s="3">
        <f>COUNTA('Para llamar'!$A$2:$A$231)+COUNTA('Para visitar'!$A$2:$A$186)</f>
        <v>415</v>
      </c>
      <c r="C4" s="3">
        <f>COUNTA('Para llamar'!$A$2:$A$231)</f>
        <v>230</v>
      </c>
      <c r="E4" s="3" t="s">
        <v>2</v>
      </c>
    </row>
    <row r="5" spans="1:5" x14ac:dyDescent="0.3">
      <c r="A5" s="4" t="s">
        <v>3</v>
      </c>
      <c r="C5" s="4" t="s">
        <v>4</v>
      </c>
      <c r="E5" s="4" t="s">
        <v>5</v>
      </c>
    </row>
    <row r="7" spans="1:5" ht="16.8" x14ac:dyDescent="0.3">
      <c r="A7" s="5" t="s">
        <v>6</v>
      </c>
    </row>
    <row r="8" spans="1:5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</row>
    <row r="9" spans="1:5" x14ac:dyDescent="0.3">
      <c r="A9" s="7" t="s">
        <v>12</v>
      </c>
      <c r="B9" s="7">
        <f>COUNTIF('Para llamar'!$A$2:$A$231,$A9)+COUNTIF('Para visitar'!$A$2:$A$186,$A9)</f>
        <v>152</v>
      </c>
      <c r="C9" s="7">
        <f>COUNTIF('Para llamar'!$A$2:$A$231,$A9)</f>
        <v>78</v>
      </c>
      <c r="D9" s="7">
        <f>COUNTIFS('Para llamar'!$A$2:$A$231,$A9,'Para llamar'!$H$2:$H$231,"Sí")+COUNTIFS('Para visitar'!$A$2:$A$186,$A9,'Para visitar'!$G$2:$G$186,"Sí")</f>
        <v>0</v>
      </c>
      <c r="E9" s="7">
        <f>COUNTIFS('Para llamar'!$A$2:$A$231,$A9,'Para llamar'!$I$2:$I$231,"Le interesa")+COUNTIFS('Para visitar'!$A$2:$A$186,$A9,'Para visitar'!$H$2:$H$186,"Le interesa")</f>
        <v>0</v>
      </c>
    </row>
    <row r="10" spans="1:5" x14ac:dyDescent="0.3">
      <c r="A10" s="7" t="s">
        <v>13</v>
      </c>
      <c r="B10" s="7">
        <f>COUNTIF('Para llamar'!$A$2:$A$231,$A10)+COUNTIF('Para visitar'!$A$2:$A$186,$A10)</f>
        <v>52</v>
      </c>
      <c r="C10" s="7">
        <f>COUNTIF('Para llamar'!$A$2:$A$231,$A10)</f>
        <v>27</v>
      </c>
      <c r="D10" s="7">
        <f>COUNTIFS('Para llamar'!$A$2:$A$231,$A10,'Para llamar'!$H$2:$H$231,"Sí")+COUNTIFS('Para visitar'!$A$2:$A$186,$A10,'Para visitar'!$G$2:$G$186,"Sí")</f>
        <v>0</v>
      </c>
      <c r="E10" s="7">
        <f>COUNTIFS('Para llamar'!$A$2:$A$231,$A10,'Para llamar'!$I$2:$I$231,"Le interesa")+COUNTIFS('Para visitar'!$A$2:$A$186,$A10,'Para visitar'!$H$2:$H$186,"Le interesa")</f>
        <v>0</v>
      </c>
    </row>
    <row r="11" spans="1:5" x14ac:dyDescent="0.3">
      <c r="A11" s="7" t="s">
        <v>14</v>
      </c>
      <c r="B11" s="7">
        <f>COUNTIF('Para llamar'!$A$2:$A$231,$A11)+COUNTIF('Para visitar'!$A$2:$A$186,$A11)</f>
        <v>146</v>
      </c>
      <c r="C11" s="7">
        <f>COUNTIF('Para llamar'!$A$2:$A$231,$A11)</f>
        <v>81</v>
      </c>
      <c r="D11" s="7">
        <f>COUNTIFS('Para llamar'!$A$2:$A$231,$A11,'Para llamar'!$H$2:$H$231,"Sí")+COUNTIFS('Para visitar'!$A$2:$A$186,$A11,'Para visitar'!$G$2:$G$186,"Sí")</f>
        <v>0</v>
      </c>
      <c r="E11" s="7">
        <f>COUNTIFS('Para llamar'!$A$2:$A$231,$A11,'Para llamar'!$I$2:$I$231,"Le interesa")+COUNTIFS('Para visitar'!$A$2:$A$186,$A11,'Para visitar'!$H$2:$H$186,"Le interesa")</f>
        <v>0</v>
      </c>
    </row>
    <row r="12" spans="1:5" x14ac:dyDescent="0.3">
      <c r="A12" s="7" t="s">
        <v>15</v>
      </c>
      <c r="B12" s="7">
        <f>COUNTIF('Para llamar'!$A$2:$A$231,$A12)+COUNTIF('Para visitar'!$A$2:$A$186,$A12)</f>
        <v>3</v>
      </c>
      <c r="C12" s="7">
        <f>COUNTIF('Para llamar'!$A$2:$A$231,$A12)</f>
        <v>3</v>
      </c>
      <c r="D12" s="7">
        <f>COUNTIFS('Para llamar'!$A$2:$A$231,$A12,'Para llamar'!$H$2:$H$231,"Sí")+COUNTIFS('Para visitar'!$A$2:$A$186,$A12,'Para visitar'!$G$2:$G$186,"Sí")</f>
        <v>0</v>
      </c>
      <c r="E12" s="7">
        <f>COUNTIFS('Para llamar'!$A$2:$A$231,$A12,'Para llamar'!$I$2:$I$231,"Le interesa")+COUNTIFS('Para visitar'!$A$2:$A$186,$A12,'Para visitar'!$H$2:$H$186,"Le interesa")</f>
        <v>0</v>
      </c>
    </row>
    <row r="13" spans="1:5" x14ac:dyDescent="0.3">
      <c r="A13" s="7" t="s">
        <v>16</v>
      </c>
      <c r="B13" s="7">
        <f>COUNTIF('Para llamar'!$A$2:$A$231,$A13)+COUNTIF('Para visitar'!$A$2:$A$186,$A13)</f>
        <v>62</v>
      </c>
      <c r="C13" s="7">
        <f>COUNTIF('Para llamar'!$A$2:$A$231,$A13)</f>
        <v>41</v>
      </c>
      <c r="D13" s="7">
        <f>COUNTIFS('Para llamar'!$A$2:$A$231,$A13,'Para llamar'!$H$2:$H$231,"Sí")+COUNTIFS('Para visitar'!$A$2:$A$186,$A13,'Para visitar'!$G$2:$G$186,"Sí")</f>
        <v>0</v>
      </c>
      <c r="E13" s="7">
        <f>COUNTIFS('Para llamar'!$A$2:$A$231,$A13,'Para llamar'!$I$2:$I$231,"Le interesa")+COUNTIFS('Para visitar'!$A$2:$A$186,$A13,'Para visitar'!$H$2:$H$186,"Le interesa")</f>
        <v>0</v>
      </c>
    </row>
    <row r="14" spans="1:5" x14ac:dyDescent="0.3">
      <c r="A14" s="8" t="s">
        <v>17</v>
      </c>
      <c r="B14" s="8">
        <f>SUM(B9:B13)</f>
        <v>415</v>
      </c>
      <c r="C14" s="8">
        <f>SUM(C9:C13)</f>
        <v>230</v>
      </c>
      <c r="D14" s="8">
        <f>SUM(D9:D13)</f>
        <v>0</v>
      </c>
      <c r="E14" s="8">
        <f>SUM(E9:E13)</f>
        <v>0</v>
      </c>
    </row>
    <row r="16" spans="1:5" ht="16.8" x14ac:dyDescent="0.3">
      <c r="A16" s="5" t="s">
        <v>18</v>
      </c>
    </row>
    <row r="17" spans="1:1" x14ac:dyDescent="0.3">
      <c r="A17" s="9" t="s">
        <v>19</v>
      </c>
    </row>
    <row r="18" spans="1:1" x14ac:dyDescent="0.3">
      <c r="A18" s="9" t="s">
        <v>20</v>
      </c>
    </row>
    <row r="19" spans="1:1" x14ac:dyDescent="0.3">
      <c r="A19" s="9" t="s">
        <v>21</v>
      </c>
    </row>
    <row r="20" spans="1:1" x14ac:dyDescent="0.3">
      <c r="A20" s="9" t="s">
        <v>22</v>
      </c>
    </row>
    <row r="22" spans="1:1" x14ac:dyDescent="0.3">
      <c r="A22" s="10" t="s">
        <v>23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6" customWidth="1"/>
    <col min="4" max="4" width="15" customWidth="1"/>
    <col min="5" max="5" width="52" customWidth="1"/>
    <col min="6" max="6" width="30" customWidth="1"/>
    <col min="7" max="7" width="12" customWidth="1"/>
    <col min="8" max="8" width="13" customWidth="1"/>
    <col min="9" max="9" width="22" customWidth="1"/>
    <col min="10" max="10" width="44" customWidth="1"/>
  </cols>
  <sheetData>
    <row r="1" spans="1:10" ht="30" customHeight="1" x14ac:dyDescent="0.3">
      <c r="A1" s="6" t="s">
        <v>7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</row>
    <row r="2" spans="1:10" x14ac:dyDescent="0.3">
      <c r="A2" s="11" t="s">
        <v>12</v>
      </c>
      <c r="B2" s="11" t="s">
        <v>33</v>
      </c>
      <c r="C2" s="12" t="s">
        <v>34</v>
      </c>
      <c r="D2" s="12" t="s">
        <v>35</v>
      </c>
      <c r="E2" s="13" t="s">
        <v>36</v>
      </c>
      <c r="F2" s="11"/>
      <c r="G2" s="14" t="s">
        <v>37</v>
      </c>
      <c r="H2" s="15"/>
      <c r="I2" s="15"/>
      <c r="J2" s="15"/>
    </row>
    <row r="3" spans="1:10" x14ac:dyDescent="0.3">
      <c r="A3" s="11" t="s">
        <v>12</v>
      </c>
      <c r="B3" s="11" t="s">
        <v>33</v>
      </c>
      <c r="C3" s="12" t="s">
        <v>38</v>
      </c>
      <c r="D3" s="12" t="s">
        <v>39</v>
      </c>
      <c r="E3" s="13" t="s">
        <v>40</v>
      </c>
      <c r="F3" s="11" t="s">
        <v>41</v>
      </c>
      <c r="G3" s="14" t="s">
        <v>37</v>
      </c>
      <c r="H3" s="15"/>
      <c r="I3" s="15"/>
      <c r="J3" s="15"/>
    </row>
    <row r="4" spans="1:10" ht="26.4" x14ac:dyDescent="0.3">
      <c r="A4" s="11" t="s">
        <v>12</v>
      </c>
      <c r="B4" s="11" t="s">
        <v>33</v>
      </c>
      <c r="C4" s="12" t="s">
        <v>42</v>
      </c>
      <c r="D4" s="12" t="s">
        <v>43</v>
      </c>
      <c r="E4" s="13" t="s">
        <v>44</v>
      </c>
      <c r="F4" s="11" t="s">
        <v>45</v>
      </c>
      <c r="G4" s="14" t="s">
        <v>37</v>
      </c>
      <c r="H4" s="15"/>
      <c r="I4" s="15"/>
      <c r="J4" s="15"/>
    </row>
    <row r="5" spans="1:10" ht="26.4" x14ac:dyDescent="0.3">
      <c r="A5" s="11" t="s">
        <v>12</v>
      </c>
      <c r="B5" s="11" t="s">
        <v>33</v>
      </c>
      <c r="C5" s="12" t="s">
        <v>46</v>
      </c>
      <c r="D5" s="12" t="s">
        <v>43</v>
      </c>
      <c r="E5" s="13" t="s">
        <v>47</v>
      </c>
      <c r="F5" s="11" t="s">
        <v>45</v>
      </c>
      <c r="G5" s="14" t="s">
        <v>37</v>
      </c>
      <c r="H5" s="15"/>
      <c r="I5" s="15"/>
      <c r="J5" s="15"/>
    </row>
    <row r="6" spans="1:10" x14ac:dyDescent="0.3">
      <c r="A6" s="11" t="s">
        <v>12</v>
      </c>
      <c r="B6" s="11" t="s">
        <v>33</v>
      </c>
      <c r="C6" s="12" t="s">
        <v>48</v>
      </c>
      <c r="D6" s="12" t="s">
        <v>49</v>
      </c>
      <c r="E6" s="13" t="s">
        <v>50</v>
      </c>
      <c r="F6" s="11"/>
      <c r="G6" s="14" t="s">
        <v>37</v>
      </c>
      <c r="H6" s="15"/>
      <c r="I6" s="15"/>
      <c r="J6" s="15"/>
    </row>
    <row r="7" spans="1:10" x14ac:dyDescent="0.3">
      <c r="A7" s="11" t="s">
        <v>12</v>
      </c>
      <c r="B7" s="11" t="s">
        <v>33</v>
      </c>
      <c r="C7" s="12" t="s">
        <v>51</v>
      </c>
      <c r="D7" s="12" t="s">
        <v>52</v>
      </c>
      <c r="E7" s="13" t="s">
        <v>53</v>
      </c>
      <c r="F7" s="11"/>
      <c r="G7" s="14" t="s">
        <v>37</v>
      </c>
      <c r="H7" s="15"/>
      <c r="I7" s="15"/>
      <c r="J7" s="15"/>
    </row>
    <row r="8" spans="1:10" x14ac:dyDescent="0.3">
      <c r="A8" s="11" t="s">
        <v>12</v>
      </c>
      <c r="B8" s="11" t="s">
        <v>33</v>
      </c>
      <c r="C8" s="12" t="s">
        <v>54</v>
      </c>
      <c r="D8" s="12" t="s">
        <v>55</v>
      </c>
      <c r="E8" s="13" t="s">
        <v>56</v>
      </c>
      <c r="F8" s="11"/>
      <c r="G8" s="14" t="s">
        <v>37</v>
      </c>
      <c r="H8" s="15"/>
      <c r="I8" s="15"/>
      <c r="J8" s="15"/>
    </row>
    <row r="9" spans="1:10" x14ac:dyDescent="0.3">
      <c r="A9" s="11" t="s">
        <v>12</v>
      </c>
      <c r="B9" s="11" t="s">
        <v>33</v>
      </c>
      <c r="C9" s="12" t="s">
        <v>57</v>
      </c>
      <c r="D9" s="12" t="s">
        <v>58</v>
      </c>
      <c r="E9" s="13" t="s">
        <v>59</v>
      </c>
      <c r="F9" s="11"/>
      <c r="G9" s="14" t="s">
        <v>37</v>
      </c>
      <c r="H9" s="15"/>
      <c r="I9" s="15"/>
      <c r="J9" s="15"/>
    </row>
    <row r="10" spans="1:10" ht="26.4" x14ac:dyDescent="0.3">
      <c r="A10" s="11" t="s">
        <v>12</v>
      </c>
      <c r="B10" s="11" t="s">
        <v>33</v>
      </c>
      <c r="C10" s="12" t="s">
        <v>60</v>
      </c>
      <c r="D10" s="12" t="s">
        <v>61</v>
      </c>
      <c r="E10" s="13" t="s">
        <v>62</v>
      </c>
      <c r="F10" s="11"/>
      <c r="G10" s="14" t="s">
        <v>37</v>
      </c>
      <c r="H10" s="15"/>
      <c r="I10" s="15"/>
      <c r="J10" s="15"/>
    </row>
    <row r="11" spans="1:10" x14ac:dyDescent="0.3">
      <c r="A11" s="11" t="s">
        <v>12</v>
      </c>
      <c r="B11" s="11" t="s">
        <v>33</v>
      </c>
      <c r="C11" s="12" t="s">
        <v>63</v>
      </c>
      <c r="D11" s="12" t="s">
        <v>64</v>
      </c>
      <c r="E11" s="13" t="s">
        <v>65</v>
      </c>
      <c r="F11" s="11" t="s">
        <v>66</v>
      </c>
      <c r="G11" s="14" t="s">
        <v>37</v>
      </c>
      <c r="H11" s="15"/>
      <c r="I11" s="15"/>
      <c r="J11" s="15"/>
    </row>
    <row r="12" spans="1:10" x14ac:dyDescent="0.3">
      <c r="A12" s="11" t="s">
        <v>12</v>
      </c>
      <c r="B12" s="11" t="s">
        <v>33</v>
      </c>
      <c r="C12" s="12" t="s">
        <v>67</v>
      </c>
      <c r="D12" s="12" t="s">
        <v>68</v>
      </c>
      <c r="E12" s="13" t="s">
        <v>69</v>
      </c>
      <c r="F12" s="11"/>
      <c r="G12" s="14" t="s">
        <v>37</v>
      </c>
      <c r="H12" s="15"/>
      <c r="I12" s="15"/>
      <c r="J12" s="15"/>
    </row>
    <row r="13" spans="1:10" x14ac:dyDescent="0.3">
      <c r="A13" s="11" t="s">
        <v>12</v>
      </c>
      <c r="B13" s="11" t="s">
        <v>33</v>
      </c>
      <c r="C13" s="12" t="s">
        <v>70</v>
      </c>
      <c r="D13" s="12" t="s">
        <v>71</v>
      </c>
      <c r="E13" s="13" t="s">
        <v>72</v>
      </c>
      <c r="F13" s="11"/>
      <c r="G13" s="14" t="s">
        <v>37</v>
      </c>
      <c r="H13" s="15"/>
      <c r="I13" s="15"/>
      <c r="J13" s="15"/>
    </row>
    <row r="14" spans="1:10" ht="26.4" x14ac:dyDescent="0.3">
      <c r="A14" s="11" t="s">
        <v>12</v>
      </c>
      <c r="B14" s="11" t="s">
        <v>33</v>
      </c>
      <c r="C14" s="12" t="s">
        <v>73</v>
      </c>
      <c r="D14" s="12" t="s">
        <v>74</v>
      </c>
      <c r="E14" s="13" t="s">
        <v>75</v>
      </c>
      <c r="F14" s="11"/>
      <c r="G14" s="14" t="s">
        <v>37</v>
      </c>
      <c r="H14" s="15"/>
      <c r="I14" s="15"/>
      <c r="J14" s="15"/>
    </row>
    <row r="15" spans="1:10" x14ac:dyDescent="0.3">
      <c r="A15" s="11" t="s">
        <v>12</v>
      </c>
      <c r="B15" s="11" t="s">
        <v>33</v>
      </c>
      <c r="C15" s="12" t="s">
        <v>76</v>
      </c>
      <c r="D15" s="12" t="s">
        <v>77</v>
      </c>
      <c r="E15" s="13" t="s">
        <v>78</v>
      </c>
      <c r="F15" s="11"/>
      <c r="G15" s="14" t="s">
        <v>37</v>
      </c>
      <c r="H15" s="15"/>
      <c r="I15" s="15"/>
      <c r="J15" s="15"/>
    </row>
    <row r="16" spans="1:10" x14ac:dyDescent="0.3">
      <c r="A16" s="11" t="s">
        <v>12</v>
      </c>
      <c r="B16" s="11" t="s">
        <v>33</v>
      </c>
      <c r="C16" s="12" t="s">
        <v>79</v>
      </c>
      <c r="D16" s="12" t="s">
        <v>80</v>
      </c>
      <c r="E16" s="13" t="s">
        <v>81</v>
      </c>
      <c r="F16" s="11"/>
      <c r="G16" s="14" t="s">
        <v>37</v>
      </c>
      <c r="H16" s="15"/>
      <c r="I16" s="15"/>
      <c r="J16" s="15"/>
    </row>
    <row r="17" spans="1:10" x14ac:dyDescent="0.3">
      <c r="A17" s="11" t="s">
        <v>12</v>
      </c>
      <c r="B17" s="11" t="s">
        <v>33</v>
      </c>
      <c r="C17" s="12" t="s">
        <v>82</v>
      </c>
      <c r="D17" s="12" t="s">
        <v>83</v>
      </c>
      <c r="E17" s="13" t="s">
        <v>84</v>
      </c>
      <c r="F17" s="11"/>
      <c r="G17" s="14" t="s">
        <v>37</v>
      </c>
      <c r="H17" s="15"/>
      <c r="I17" s="15"/>
      <c r="J17" s="15"/>
    </row>
    <row r="18" spans="1:10" x14ac:dyDescent="0.3">
      <c r="A18" s="11" t="s">
        <v>12</v>
      </c>
      <c r="B18" s="11" t="s">
        <v>33</v>
      </c>
      <c r="C18" s="12" t="s">
        <v>85</v>
      </c>
      <c r="D18" s="12" t="s">
        <v>86</v>
      </c>
      <c r="E18" s="13" t="s">
        <v>87</v>
      </c>
      <c r="F18" s="11"/>
      <c r="G18" s="14" t="s">
        <v>37</v>
      </c>
      <c r="H18" s="15"/>
      <c r="I18" s="15"/>
      <c r="J18" s="15"/>
    </row>
    <row r="19" spans="1:10" ht="26.4" x14ac:dyDescent="0.3">
      <c r="A19" s="11" t="s">
        <v>12</v>
      </c>
      <c r="B19" s="11" t="s">
        <v>33</v>
      </c>
      <c r="C19" s="12" t="s">
        <v>88</v>
      </c>
      <c r="D19" s="12" t="s">
        <v>89</v>
      </c>
      <c r="E19" s="13" t="s">
        <v>90</v>
      </c>
      <c r="F19" s="11"/>
      <c r="G19" s="14" t="s">
        <v>37</v>
      </c>
      <c r="H19" s="15"/>
      <c r="I19" s="15"/>
      <c r="J19" s="15"/>
    </row>
    <row r="20" spans="1:10" x14ac:dyDescent="0.3">
      <c r="A20" s="11" t="s">
        <v>12</v>
      </c>
      <c r="B20" s="11" t="s">
        <v>33</v>
      </c>
      <c r="C20" s="12" t="s">
        <v>91</v>
      </c>
      <c r="D20" s="12" t="s">
        <v>92</v>
      </c>
      <c r="E20" s="13" t="s">
        <v>93</v>
      </c>
      <c r="F20" s="11"/>
      <c r="G20" s="14" t="s">
        <v>37</v>
      </c>
      <c r="H20" s="15"/>
      <c r="I20" s="15"/>
      <c r="J20" s="15"/>
    </row>
    <row r="21" spans="1:10" ht="26.4" x14ac:dyDescent="0.3">
      <c r="A21" s="11" t="s">
        <v>12</v>
      </c>
      <c r="B21" s="11" t="s">
        <v>33</v>
      </c>
      <c r="C21" s="12" t="s">
        <v>94</v>
      </c>
      <c r="D21" s="12" t="s">
        <v>95</v>
      </c>
      <c r="E21" s="13" t="s">
        <v>96</v>
      </c>
      <c r="F21" s="11"/>
      <c r="G21" s="14" t="s">
        <v>37</v>
      </c>
      <c r="H21" s="15"/>
      <c r="I21" s="15"/>
      <c r="J21" s="15"/>
    </row>
    <row r="22" spans="1:10" x14ac:dyDescent="0.3">
      <c r="A22" s="11" t="s">
        <v>12</v>
      </c>
      <c r="B22" s="11" t="s">
        <v>33</v>
      </c>
      <c r="C22" s="12" t="s">
        <v>97</v>
      </c>
      <c r="D22" s="12" t="s">
        <v>98</v>
      </c>
      <c r="E22" s="13" t="s">
        <v>99</v>
      </c>
      <c r="F22" s="11"/>
      <c r="G22" s="14" t="s">
        <v>37</v>
      </c>
      <c r="H22" s="15"/>
      <c r="I22" s="15"/>
      <c r="J22" s="15"/>
    </row>
    <row r="23" spans="1:10" x14ac:dyDescent="0.3">
      <c r="A23" s="11" t="s">
        <v>12</v>
      </c>
      <c r="B23" s="11" t="s">
        <v>33</v>
      </c>
      <c r="C23" s="12" t="s">
        <v>100</v>
      </c>
      <c r="D23" s="12" t="s">
        <v>101</v>
      </c>
      <c r="E23" s="13" t="s">
        <v>102</v>
      </c>
      <c r="F23" s="11"/>
      <c r="G23" s="14" t="s">
        <v>37</v>
      </c>
      <c r="H23" s="15"/>
      <c r="I23" s="15"/>
      <c r="J23" s="15"/>
    </row>
    <row r="24" spans="1:10" x14ac:dyDescent="0.3">
      <c r="A24" s="11" t="s">
        <v>12</v>
      </c>
      <c r="B24" s="11" t="s">
        <v>33</v>
      </c>
      <c r="C24" s="12" t="s">
        <v>103</v>
      </c>
      <c r="D24" s="12" t="s">
        <v>104</v>
      </c>
      <c r="E24" s="13" t="s">
        <v>105</v>
      </c>
      <c r="F24" s="11"/>
      <c r="G24" s="14" t="s">
        <v>37</v>
      </c>
      <c r="H24" s="15"/>
      <c r="I24" s="15"/>
      <c r="J24" s="15"/>
    </row>
    <row r="25" spans="1:10" x14ac:dyDescent="0.3">
      <c r="A25" s="11" t="s">
        <v>12</v>
      </c>
      <c r="B25" s="11" t="s">
        <v>33</v>
      </c>
      <c r="C25" s="12" t="s">
        <v>106</v>
      </c>
      <c r="D25" s="12" t="s">
        <v>107</v>
      </c>
      <c r="E25" s="13" t="s">
        <v>108</v>
      </c>
      <c r="F25" s="11"/>
      <c r="G25" s="14" t="s">
        <v>37</v>
      </c>
      <c r="H25" s="15"/>
      <c r="I25" s="15"/>
      <c r="J25" s="15"/>
    </row>
    <row r="26" spans="1:10" ht="26.4" x14ac:dyDescent="0.3">
      <c r="A26" s="11" t="s">
        <v>12</v>
      </c>
      <c r="B26" s="11" t="s">
        <v>33</v>
      </c>
      <c r="C26" s="12" t="s">
        <v>109</v>
      </c>
      <c r="D26" s="12" t="s">
        <v>110</v>
      </c>
      <c r="E26" s="13" t="s">
        <v>111</v>
      </c>
      <c r="F26" s="11"/>
      <c r="G26" s="14" t="s">
        <v>37</v>
      </c>
      <c r="H26" s="15"/>
      <c r="I26" s="15"/>
      <c r="J26" s="15"/>
    </row>
    <row r="27" spans="1:10" ht="26.4" x14ac:dyDescent="0.3">
      <c r="A27" s="11" t="s">
        <v>12</v>
      </c>
      <c r="B27" s="11" t="s">
        <v>33</v>
      </c>
      <c r="C27" s="12" t="s">
        <v>112</v>
      </c>
      <c r="D27" s="12" t="s">
        <v>113</v>
      </c>
      <c r="E27" s="13" t="s">
        <v>114</v>
      </c>
      <c r="F27" s="11"/>
      <c r="G27" s="14" t="s">
        <v>37</v>
      </c>
      <c r="H27" s="15"/>
      <c r="I27" s="15"/>
      <c r="J27" s="15"/>
    </row>
    <row r="28" spans="1:10" x14ac:dyDescent="0.3">
      <c r="A28" s="11" t="s">
        <v>12</v>
      </c>
      <c r="B28" s="11" t="s">
        <v>33</v>
      </c>
      <c r="C28" s="12" t="s">
        <v>115</v>
      </c>
      <c r="D28" s="12" t="s">
        <v>116</v>
      </c>
      <c r="E28" s="13" t="s">
        <v>117</v>
      </c>
      <c r="F28" s="11"/>
      <c r="G28" s="14" t="s">
        <v>37</v>
      </c>
      <c r="H28" s="15"/>
      <c r="I28" s="15"/>
      <c r="J28" s="15"/>
    </row>
    <row r="29" spans="1:10" x14ac:dyDescent="0.3">
      <c r="A29" s="11" t="s">
        <v>12</v>
      </c>
      <c r="B29" s="11" t="s">
        <v>33</v>
      </c>
      <c r="C29" s="12" t="s">
        <v>118</v>
      </c>
      <c r="D29" s="12" t="s">
        <v>119</v>
      </c>
      <c r="E29" s="13" t="s">
        <v>120</v>
      </c>
      <c r="F29" s="11"/>
      <c r="G29" s="14" t="s">
        <v>37</v>
      </c>
      <c r="H29" s="15"/>
      <c r="I29" s="15"/>
      <c r="J29" s="15"/>
    </row>
    <row r="30" spans="1:10" ht="26.4" x14ac:dyDescent="0.3">
      <c r="A30" s="11" t="s">
        <v>12</v>
      </c>
      <c r="B30" s="11" t="s">
        <v>33</v>
      </c>
      <c r="C30" s="12" t="s">
        <v>121</v>
      </c>
      <c r="D30" s="12" t="s">
        <v>122</v>
      </c>
      <c r="E30" s="13" t="s">
        <v>123</v>
      </c>
      <c r="F30" s="11"/>
      <c r="G30" s="14" t="s">
        <v>37</v>
      </c>
      <c r="H30" s="15"/>
      <c r="I30" s="15"/>
      <c r="J30" s="15"/>
    </row>
    <row r="31" spans="1:10" x14ac:dyDescent="0.3">
      <c r="A31" s="11" t="s">
        <v>12</v>
      </c>
      <c r="B31" s="11" t="s">
        <v>33</v>
      </c>
      <c r="C31" s="12" t="s">
        <v>124</v>
      </c>
      <c r="D31" s="12" t="s">
        <v>125</v>
      </c>
      <c r="E31" s="13" t="s">
        <v>126</v>
      </c>
      <c r="F31" s="11"/>
      <c r="G31" s="14" t="s">
        <v>37</v>
      </c>
      <c r="H31" s="15"/>
      <c r="I31" s="15"/>
      <c r="J31" s="15"/>
    </row>
    <row r="32" spans="1:10" x14ac:dyDescent="0.3">
      <c r="A32" s="11" t="s">
        <v>12</v>
      </c>
      <c r="B32" s="11" t="s">
        <v>33</v>
      </c>
      <c r="C32" s="12" t="s">
        <v>127</v>
      </c>
      <c r="D32" s="12" t="s">
        <v>128</v>
      </c>
      <c r="E32" s="13" t="s">
        <v>129</v>
      </c>
      <c r="F32" s="11"/>
      <c r="G32" s="14" t="s">
        <v>37</v>
      </c>
      <c r="H32" s="15"/>
      <c r="I32" s="15"/>
      <c r="J32" s="15"/>
    </row>
    <row r="33" spans="1:10" ht="26.4" x14ac:dyDescent="0.3">
      <c r="A33" s="11" t="s">
        <v>12</v>
      </c>
      <c r="B33" s="11" t="s">
        <v>33</v>
      </c>
      <c r="C33" s="12" t="s">
        <v>130</v>
      </c>
      <c r="D33" s="12" t="s">
        <v>122</v>
      </c>
      <c r="E33" s="13" t="s">
        <v>131</v>
      </c>
      <c r="F33" s="11" t="s">
        <v>132</v>
      </c>
      <c r="G33" s="14" t="s">
        <v>37</v>
      </c>
      <c r="H33" s="15"/>
      <c r="I33" s="15"/>
      <c r="J33" s="15"/>
    </row>
    <row r="34" spans="1:10" ht="26.4" x14ac:dyDescent="0.3">
      <c r="A34" s="11" t="s">
        <v>12</v>
      </c>
      <c r="B34" s="11" t="s">
        <v>33</v>
      </c>
      <c r="C34" s="12" t="s">
        <v>133</v>
      </c>
      <c r="D34" s="12" t="s">
        <v>134</v>
      </c>
      <c r="E34" s="13" t="s">
        <v>135</v>
      </c>
      <c r="F34" s="11"/>
      <c r="G34" s="14" t="s">
        <v>37</v>
      </c>
      <c r="H34" s="15"/>
      <c r="I34" s="15"/>
      <c r="J34" s="15"/>
    </row>
    <row r="35" spans="1:10" ht="26.4" x14ac:dyDescent="0.3">
      <c r="A35" s="11" t="s">
        <v>12</v>
      </c>
      <c r="B35" s="11" t="s">
        <v>33</v>
      </c>
      <c r="C35" s="12" t="s">
        <v>136</v>
      </c>
      <c r="D35" s="12" t="s">
        <v>137</v>
      </c>
      <c r="E35" s="13" t="s">
        <v>138</v>
      </c>
      <c r="F35" s="11"/>
      <c r="G35" s="14" t="s">
        <v>37</v>
      </c>
      <c r="H35" s="15"/>
      <c r="I35" s="15"/>
      <c r="J35" s="15"/>
    </row>
    <row r="36" spans="1:10" x14ac:dyDescent="0.3">
      <c r="A36" s="11" t="s">
        <v>12</v>
      </c>
      <c r="B36" s="11" t="s">
        <v>33</v>
      </c>
      <c r="C36" s="12" t="s">
        <v>139</v>
      </c>
      <c r="D36" s="12" t="s">
        <v>140</v>
      </c>
      <c r="E36" s="13" t="s">
        <v>141</v>
      </c>
      <c r="F36" s="11" t="s">
        <v>142</v>
      </c>
      <c r="G36" s="14" t="s">
        <v>37</v>
      </c>
      <c r="H36" s="15"/>
      <c r="I36" s="15"/>
      <c r="J36" s="15"/>
    </row>
    <row r="37" spans="1:10" x14ac:dyDescent="0.3">
      <c r="A37" s="11" t="s">
        <v>12</v>
      </c>
      <c r="B37" s="11" t="s">
        <v>33</v>
      </c>
      <c r="C37" s="12" t="s">
        <v>143</v>
      </c>
      <c r="D37" s="12" t="s">
        <v>144</v>
      </c>
      <c r="E37" s="13" t="s">
        <v>145</v>
      </c>
      <c r="F37" s="11"/>
      <c r="G37" s="14" t="s">
        <v>37</v>
      </c>
      <c r="H37" s="15"/>
      <c r="I37" s="15"/>
      <c r="J37" s="15"/>
    </row>
    <row r="38" spans="1:10" ht="26.4" x14ac:dyDescent="0.3">
      <c r="A38" s="11" t="s">
        <v>12</v>
      </c>
      <c r="B38" s="11" t="s">
        <v>33</v>
      </c>
      <c r="C38" s="12" t="s">
        <v>146</v>
      </c>
      <c r="D38" s="12" t="s">
        <v>147</v>
      </c>
      <c r="E38" s="13" t="s">
        <v>148</v>
      </c>
      <c r="F38" s="11"/>
      <c r="G38" s="14" t="s">
        <v>37</v>
      </c>
      <c r="H38" s="15"/>
      <c r="I38" s="15"/>
      <c r="J38" s="15"/>
    </row>
    <row r="39" spans="1:10" x14ac:dyDescent="0.3">
      <c r="A39" s="11" t="s">
        <v>12</v>
      </c>
      <c r="B39" s="11" t="s">
        <v>33</v>
      </c>
      <c r="C39" s="12" t="s">
        <v>149</v>
      </c>
      <c r="D39" s="12" t="s">
        <v>150</v>
      </c>
      <c r="E39" s="13" t="s">
        <v>151</v>
      </c>
      <c r="F39" s="11"/>
      <c r="G39" s="14" t="s">
        <v>37</v>
      </c>
      <c r="H39" s="15"/>
      <c r="I39" s="15"/>
      <c r="J39" s="15"/>
    </row>
    <row r="40" spans="1:10" ht="26.4" x14ac:dyDescent="0.3">
      <c r="A40" s="11" t="s">
        <v>12</v>
      </c>
      <c r="B40" s="11" t="s">
        <v>33</v>
      </c>
      <c r="C40" s="12" t="s">
        <v>152</v>
      </c>
      <c r="D40" s="12" t="s">
        <v>153</v>
      </c>
      <c r="E40" s="13" t="s">
        <v>154</v>
      </c>
      <c r="F40" s="11" t="s">
        <v>155</v>
      </c>
      <c r="G40" s="14" t="s">
        <v>37</v>
      </c>
      <c r="H40" s="15"/>
      <c r="I40" s="15"/>
      <c r="J40" s="15"/>
    </row>
    <row r="41" spans="1:10" ht="26.4" x14ac:dyDescent="0.3">
      <c r="A41" s="11" t="s">
        <v>12</v>
      </c>
      <c r="B41" s="11" t="s">
        <v>33</v>
      </c>
      <c r="C41" s="12" t="s">
        <v>156</v>
      </c>
      <c r="D41" s="12" t="s">
        <v>157</v>
      </c>
      <c r="E41" s="13" t="s">
        <v>158</v>
      </c>
      <c r="F41" s="11" t="s">
        <v>159</v>
      </c>
      <c r="G41" s="14" t="s">
        <v>37</v>
      </c>
      <c r="H41" s="15"/>
      <c r="I41" s="15"/>
      <c r="J41" s="15"/>
    </row>
    <row r="42" spans="1:10" x14ac:dyDescent="0.3">
      <c r="A42" s="11" t="s">
        <v>12</v>
      </c>
      <c r="B42" s="11" t="s">
        <v>33</v>
      </c>
      <c r="C42" s="12" t="s">
        <v>160</v>
      </c>
      <c r="D42" s="12" t="s">
        <v>161</v>
      </c>
      <c r="E42" s="13" t="s">
        <v>162</v>
      </c>
      <c r="F42" s="11"/>
      <c r="G42" s="14" t="s">
        <v>37</v>
      </c>
      <c r="H42" s="15"/>
      <c r="I42" s="15"/>
      <c r="J42" s="15"/>
    </row>
    <row r="43" spans="1:10" ht="26.4" x14ac:dyDescent="0.3">
      <c r="A43" s="11" t="s">
        <v>12</v>
      </c>
      <c r="B43" s="11" t="s">
        <v>33</v>
      </c>
      <c r="C43" s="12" t="s">
        <v>163</v>
      </c>
      <c r="D43" s="12" t="s">
        <v>164</v>
      </c>
      <c r="E43" s="13" t="s">
        <v>165</v>
      </c>
      <c r="F43" s="11"/>
      <c r="G43" s="14" t="s">
        <v>37</v>
      </c>
      <c r="H43" s="15"/>
      <c r="I43" s="15"/>
      <c r="J43" s="15"/>
    </row>
    <row r="44" spans="1:10" x14ac:dyDescent="0.3">
      <c r="A44" s="11" t="s">
        <v>12</v>
      </c>
      <c r="B44" s="11" t="s">
        <v>33</v>
      </c>
      <c r="C44" s="12" t="s">
        <v>166</v>
      </c>
      <c r="D44" s="12" t="s">
        <v>167</v>
      </c>
      <c r="E44" s="13" t="s">
        <v>168</v>
      </c>
      <c r="F44" s="11"/>
      <c r="G44" s="14" t="s">
        <v>37</v>
      </c>
      <c r="H44" s="15"/>
      <c r="I44" s="15"/>
      <c r="J44" s="15"/>
    </row>
    <row r="45" spans="1:10" x14ac:dyDescent="0.3">
      <c r="A45" s="11" t="s">
        <v>12</v>
      </c>
      <c r="B45" s="11" t="s">
        <v>33</v>
      </c>
      <c r="C45" s="12" t="s">
        <v>169</v>
      </c>
      <c r="D45" s="12" t="s">
        <v>170</v>
      </c>
      <c r="E45" s="13" t="s">
        <v>171</v>
      </c>
      <c r="F45" s="11"/>
      <c r="G45" s="14" t="s">
        <v>37</v>
      </c>
      <c r="H45" s="15"/>
      <c r="I45" s="15"/>
      <c r="J45" s="15"/>
    </row>
    <row r="46" spans="1:10" x14ac:dyDescent="0.3">
      <c r="A46" s="11" t="s">
        <v>12</v>
      </c>
      <c r="B46" s="11" t="s">
        <v>33</v>
      </c>
      <c r="C46" s="12" t="s">
        <v>172</v>
      </c>
      <c r="D46" s="12" t="s">
        <v>173</v>
      </c>
      <c r="E46" s="13" t="s">
        <v>174</v>
      </c>
      <c r="F46" s="11"/>
      <c r="G46" s="14" t="s">
        <v>37</v>
      </c>
      <c r="H46" s="15"/>
      <c r="I46" s="15"/>
      <c r="J46" s="15"/>
    </row>
    <row r="47" spans="1:10" x14ac:dyDescent="0.3">
      <c r="A47" s="11" t="s">
        <v>12</v>
      </c>
      <c r="B47" s="11" t="s">
        <v>33</v>
      </c>
      <c r="C47" s="12" t="s">
        <v>175</v>
      </c>
      <c r="D47" s="12" t="s">
        <v>176</v>
      </c>
      <c r="E47" s="13" t="s">
        <v>177</v>
      </c>
      <c r="F47" s="11"/>
      <c r="G47" s="14" t="s">
        <v>37</v>
      </c>
      <c r="H47" s="15"/>
      <c r="I47" s="15"/>
      <c r="J47" s="15"/>
    </row>
    <row r="48" spans="1:10" ht="26.4" x14ac:dyDescent="0.3">
      <c r="A48" s="11" t="s">
        <v>12</v>
      </c>
      <c r="B48" s="11" t="s">
        <v>33</v>
      </c>
      <c r="C48" s="12" t="s">
        <v>178</v>
      </c>
      <c r="D48" s="12" t="s">
        <v>179</v>
      </c>
      <c r="E48" s="13" t="s">
        <v>180</v>
      </c>
      <c r="F48" s="11"/>
      <c r="G48" s="14" t="s">
        <v>37</v>
      </c>
      <c r="H48" s="15"/>
      <c r="I48" s="15"/>
      <c r="J48" s="15"/>
    </row>
    <row r="49" spans="1:10" ht="26.4" x14ac:dyDescent="0.3">
      <c r="A49" s="11" t="s">
        <v>12</v>
      </c>
      <c r="B49" s="11" t="s">
        <v>33</v>
      </c>
      <c r="C49" s="12" t="s">
        <v>181</v>
      </c>
      <c r="D49" s="12" t="s">
        <v>182</v>
      </c>
      <c r="E49" s="13" t="s">
        <v>183</v>
      </c>
      <c r="F49" s="11"/>
      <c r="G49" s="14" t="s">
        <v>37</v>
      </c>
      <c r="H49" s="15"/>
      <c r="I49" s="15"/>
      <c r="J49" s="15"/>
    </row>
    <row r="50" spans="1:10" ht="26.4" x14ac:dyDescent="0.3">
      <c r="A50" s="11" t="s">
        <v>12</v>
      </c>
      <c r="B50" s="11" t="s">
        <v>33</v>
      </c>
      <c r="C50" s="12" t="s">
        <v>184</v>
      </c>
      <c r="D50" s="12" t="s">
        <v>185</v>
      </c>
      <c r="E50" s="13" t="s">
        <v>186</v>
      </c>
      <c r="F50" s="11"/>
      <c r="G50" s="14" t="s">
        <v>37</v>
      </c>
      <c r="H50" s="15"/>
      <c r="I50" s="15"/>
      <c r="J50" s="15"/>
    </row>
    <row r="51" spans="1:10" x14ac:dyDescent="0.3">
      <c r="A51" s="11" t="s">
        <v>12</v>
      </c>
      <c r="B51" s="11" t="s">
        <v>33</v>
      </c>
      <c r="C51" s="12" t="s">
        <v>187</v>
      </c>
      <c r="D51" s="12" t="s">
        <v>188</v>
      </c>
      <c r="E51" s="13" t="s">
        <v>189</v>
      </c>
      <c r="F51" s="11"/>
      <c r="G51" s="14" t="s">
        <v>37</v>
      </c>
      <c r="H51" s="15"/>
      <c r="I51" s="15"/>
      <c r="J51" s="15"/>
    </row>
    <row r="52" spans="1:10" ht="26.4" x14ac:dyDescent="0.3">
      <c r="A52" s="11" t="s">
        <v>12</v>
      </c>
      <c r="B52" s="11" t="s">
        <v>33</v>
      </c>
      <c r="C52" s="12" t="s">
        <v>190</v>
      </c>
      <c r="D52" s="12" t="s">
        <v>191</v>
      </c>
      <c r="E52" s="13" t="s">
        <v>192</v>
      </c>
      <c r="F52" s="11"/>
      <c r="G52" s="14" t="s">
        <v>37</v>
      </c>
      <c r="H52" s="15"/>
      <c r="I52" s="15"/>
      <c r="J52" s="15"/>
    </row>
    <row r="53" spans="1:10" x14ac:dyDescent="0.3">
      <c r="A53" s="11" t="s">
        <v>12</v>
      </c>
      <c r="B53" s="11" t="s">
        <v>33</v>
      </c>
      <c r="C53" s="12" t="s">
        <v>193</v>
      </c>
      <c r="D53" s="12" t="s">
        <v>194</v>
      </c>
      <c r="E53" s="13" t="s">
        <v>195</v>
      </c>
      <c r="F53" s="11"/>
      <c r="G53" s="14" t="s">
        <v>37</v>
      </c>
      <c r="H53" s="15"/>
      <c r="I53" s="15"/>
      <c r="J53" s="15"/>
    </row>
    <row r="54" spans="1:10" x14ac:dyDescent="0.3">
      <c r="A54" s="11" t="s">
        <v>12</v>
      </c>
      <c r="B54" s="11" t="s">
        <v>33</v>
      </c>
      <c r="C54" s="12" t="s">
        <v>193</v>
      </c>
      <c r="D54" s="12" t="s">
        <v>196</v>
      </c>
      <c r="E54" s="13" t="s">
        <v>197</v>
      </c>
      <c r="F54" s="11"/>
      <c r="G54" s="14" t="s">
        <v>37</v>
      </c>
      <c r="H54" s="15"/>
      <c r="I54" s="15"/>
      <c r="J54" s="15"/>
    </row>
    <row r="55" spans="1:10" ht="26.4" x14ac:dyDescent="0.3">
      <c r="A55" s="11" t="s">
        <v>12</v>
      </c>
      <c r="B55" s="11" t="s">
        <v>33</v>
      </c>
      <c r="C55" s="12" t="s">
        <v>198</v>
      </c>
      <c r="D55" s="12" t="s">
        <v>199</v>
      </c>
      <c r="E55" s="13" t="s">
        <v>200</v>
      </c>
      <c r="F55" s="11"/>
      <c r="G55" s="14" t="s">
        <v>37</v>
      </c>
      <c r="H55" s="15"/>
      <c r="I55" s="15"/>
      <c r="J55" s="15"/>
    </row>
    <row r="56" spans="1:10" x14ac:dyDescent="0.3">
      <c r="A56" s="11" t="s">
        <v>12</v>
      </c>
      <c r="B56" s="11" t="s">
        <v>33</v>
      </c>
      <c r="C56" s="12" t="s">
        <v>201</v>
      </c>
      <c r="D56" s="12" t="s">
        <v>202</v>
      </c>
      <c r="E56" s="13" t="s">
        <v>203</v>
      </c>
      <c r="F56" s="11"/>
      <c r="G56" s="14" t="s">
        <v>37</v>
      </c>
      <c r="H56" s="15"/>
      <c r="I56" s="15"/>
      <c r="J56" s="15"/>
    </row>
    <row r="57" spans="1:10" ht="26.4" x14ac:dyDescent="0.3">
      <c r="A57" s="11" t="s">
        <v>12</v>
      </c>
      <c r="B57" s="11" t="s">
        <v>33</v>
      </c>
      <c r="C57" s="12" t="s">
        <v>204</v>
      </c>
      <c r="D57" s="12" t="s">
        <v>205</v>
      </c>
      <c r="E57" s="13" t="s">
        <v>206</v>
      </c>
      <c r="F57" s="11"/>
      <c r="G57" s="14" t="s">
        <v>37</v>
      </c>
      <c r="H57" s="15"/>
      <c r="I57" s="15"/>
      <c r="J57" s="15"/>
    </row>
    <row r="58" spans="1:10" x14ac:dyDescent="0.3">
      <c r="A58" s="11" t="s">
        <v>12</v>
      </c>
      <c r="B58" s="11" t="s">
        <v>33</v>
      </c>
      <c r="C58" s="12" t="s">
        <v>207</v>
      </c>
      <c r="D58" s="12" t="s">
        <v>208</v>
      </c>
      <c r="E58" s="13" t="s">
        <v>209</v>
      </c>
      <c r="F58" s="11"/>
      <c r="G58" s="14" t="s">
        <v>37</v>
      </c>
      <c r="H58" s="15"/>
      <c r="I58" s="15"/>
      <c r="J58" s="15"/>
    </row>
    <row r="59" spans="1:10" ht="26.4" x14ac:dyDescent="0.3">
      <c r="A59" s="11" t="s">
        <v>12</v>
      </c>
      <c r="B59" s="11" t="s">
        <v>33</v>
      </c>
      <c r="C59" s="12" t="s">
        <v>210</v>
      </c>
      <c r="D59" s="12" t="s">
        <v>211</v>
      </c>
      <c r="E59" s="13" t="s">
        <v>212</v>
      </c>
      <c r="F59" s="11"/>
      <c r="G59" s="14" t="s">
        <v>37</v>
      </c>
      <c r="H59" s="15"/>
      <c r="I59" s="15"/>
      <c r="J59" s="15"/>
    </row>
    <row r="60" spans="1:10" ht="26.4" x14ac:dyDescent="0.3">
      <c r="A60" s="11" t="s">
        <v>12</v>
      </c>
      <c r="B60" s="11" t="s">
        <v>33</v>
      </c>
      <c r="C60" s="12" t="s">
        <v>213</v>
      </c>
      <c r="D60" s="12" t="s">
        <v>214</v>
      </c>
      <c r="E60" s="13" t="s">
        <v>215</v>
      </c>
      <c r="F60" s="11"/>
      <c r="G60" s="14" t="s">
        <v>37</v>
      </c>
      <c r="H60" s="15"/>
      <c r="I60" s="15"/>
      <c r="J60" s="15"/>
    </row>
    <row r="61" spans="1:10" ht="26.4" x14ac:dyDescent="0.3">
      <c r="A61" s="11" t="s">
        <v>12</v>
      </c>
      <c r="B61" s="11" t="s">
        <v>33</v>
      </c>
      <c r="C61" s="12" t="s">
        <v>216</v>
      </c>
      <c r="D61" s="12" t="s">
        <v>217</v>
      </c>
      <c r="E61" s="13" t="s">
        <v>218</v>
      </c>
      <c r="F61" s="11"/>
      <c r="G61" s="14" t="s">
        <v>37</v>
      </c>
      <c r="H61" s="15"/>
      <c r="I61" s="15"/>
      <c r="J61" s="15"/>
    </row>
    <row r="62" spans="1:10" ht="26.4" x14ac:dyDescent="0.3">
      <c r="A62" s="11" t="s">
        <v>12</v>
      </c>
      <c r="B62" s="11" t="s">
        <v>33</v>
      </c>
      <c r="C62" s="12" t="s">
        <v>219</v>
      </c>
      <c r="D62" s="12" t="s">
        <v>220</v>
      </c>
      <c r="E62" s="13" t="s">
        <v>221</v>
      </c>
      <c r="F62" s="11"/>
      <c r="G62" s="14" t="s">
        <v>37</v>
      </c>
      <c r="H62" s="15"/>
      <c r="I62" s="15"/>
      <c r="J62" s="15"/>
    </row>
    <row r="63" spans="1:10" x14ac:dyDescent="0.3">
      <c r="A63" s="11" t="s">
        <v>12</v>
      </c>
      <c r="B63" s="11" t="s">
        <v>33</v>
      </c>
      <c r="C63" s="12" t="s">
        <v>222</v>
      </c>
      <c r="D63" s="12" t="s">
        <v>223</v>
      </c>
      <c r="E63" s="13" t="s">
        <v>224</v>
      </c>
      <c r="F63" s="11"/>
      <c r="G63" s="14" t="s">
        <v>37</v>
      </c>
      <c r="H63" s="15"/>
      <c r="I63" s="15"/>
      <c r="J63" s="15"/>
    </row>
    <row r="64" spans="1:10" ht="26.4" x14ac:dyDescent="0.3">
      <c r="A64" s="11" t="s">
        <v>12</v>
      </c>
      <c r="B64" s="11" t="s">
        <v>33</v>
      </c>
      <c r="C64" s="12" t="s">
        <v>225</v>
      </c>
      <c r="D64" s="12" t="s">
        <v>226</v>
      </c>
      <c r="E64" s="13" t="s">
        <v>227</v>
      </c>
      <c r="F64" s="11"/>
      <c r="G64" s="14" t="s">
        <v>37</v>
      </c>
      <c r="H64" s="15"/>
      <c r="I64" s="15"/>
      <c r="J64" s="15"/>
    </row>
    <row r="65" spans="1:10" ht="26.4" x14ac:dyDescent="0.3">
      <c r="A65" s="11" t="s">
        <v>12</v>
      </c>
      <c r="B65" s="11" t="s">
        <v>33</v>
      </c>
      <c r="C65" s="12" t="s">
        <v>228</v>
      </c>
      <c r="D65" s="12" t="s">
        <v>229</v>
      </c>
      <c r="E65" s="13" t="s">
        <v>230</v>
      </c>
      <c r="F65" s="11"/>
      <c r="G65" s="14" t="s">
        <v>37</v>
      </c>
      <c r="H65" s="15"/>
      <c r="I65" s="15"/>
      <c r="J65" s="15"/>
    </row>
    <row r="66" spans="1:10" ht="26.4" x14ac:dyDescent="0.3">
      <c r="A66" s="11" t="s">
        <v>12</v>
      </c>
      <c r="B66" s="11" t="s">
        <v>33</v>
      </c>
      <c r="C66" s="12" t="s">
        <v>231</v>
      </c>
      <c r="D66" s="12" t="s">
        <v>232</v>
      </c>
      <c r="E66" s="13" t="s">
        <v>233</v>
      </c>
      <c r="F66" s="11"/>
      <c r="G66" s="14" t="s">
        <v>37</v>
      </c>
      <c r="H66" s="15"/>
      <c r="I66" s="15"/>
      <c r="J66" s="15"/>
    </row>
    <row r="67" spans="1:10" ht="26.4" x14ac:dyDescent="0.3">
      <c r="A67" s="11" t="s">
        <v>12</v>
      </c>
      <c r="B67" s="11" t="s">
        <v>33</v>
      </c>
      <c r="C67" s="12" t="s">
        <v>234</v>
      </c>
      <c r="D67" s="12" t="s">
        <v>235</v>
      </c>
      <c r="E67" s="13" t="s">
        <v>236</v>
      </c>
      <c r="F67" s="11"/>
      <c r="G67" s="14" t="s">
        <v>37</v>
      </c>
      <c r="H67" s="15"/>
      <c r="I67" s="15"/>
      <c r="J67" s="15"/>
    </row>
    <row r="68" spans="1:10" x14ac:dyDescent="0.3">
      <c r="A68" s="11" t="s">
        <v>12</v>
      </c>
      <c r="B68" s="11" t="s">
        <v>33</v>
      </c>
      <c r="C68" s="12" t="s">
        <v>237</v>
      </c>
      <c r="D68" s="12" t="s">
        <v>238</v>
      </c>
      <c r="E68" s="13" t="s">
        <v>239</v>
      </c>
      <c r="F68" s="11"/>
      <c r="G68" s="14" t="s">
        <v>37</v>
      </c>
      <c r="H68" s="15"/>
      <c r="I68" s="15"/>
      <c r="J68" s="15"/>
    </row>
    <row r="69" spans="1:10" x14ac:dyDescent="0.3">
      <c r="A69" s="11" t="s">
        <v>12</v>
      </c>
      <c r="B69" s="11" t="s">
        <v>33</v>
      </c>
      <c r="C69" s="12" t="s">
        <v>240</v>
      </c>
      <c r="D69" s="12" t="s">
        <v>241</v>
      </c>
      <c r="E69" s="13" t="s">
        <v>242</v>
      </c>
      <c r="F69" s="11"/>
      <c r="G69" s="14" t="s">
        <v>37</v>
      </c>
      <c r="H69" s="15"/>
      <c r="I69" s="15"/>
      <c r="J69" s="15"/>
    </row>
    <row r="70" spans="1:10" x14ac:dyDescent="0.3">
      <c r="A70" s="11" t="s">
        <v>12</v>
      </c>
      <c r="B70" s="11" t="s">
        <v>33</v>
      </c>
      <c r="C70" s="12" t="s">
        <v>243</v>
      </c>
      <c r="D70" s="12" t="s">
        <v>244</v>
      </c>
      <c r="E70" s="13" t="s">
        <v>245</v>
      </c>
      <c r="F70" s="11"/>
      <c r="G70" s="14" t="s">
        <v>37</v>
      </c>
      <c r="H70" s="15"/>
      <c r="I70" s="15"/>
      <c r="J70" s="15"/>
    </row>
    <row r="71" spans="1:10" x14ac:dyDescent="0.3">
      <c r="A71" s="11" t="s">
        <v>12</v>
      </c>
      <c r="B71" s="11" t="s">
        <v>33</v>
      </c>
      <c r="C71" s="12" t="s">
        <v>246</v>
      </c>
      <c r="D71" s="12" t="s">
        <v>247</v>
      </c>
      <c r="E71" s="13" t="s">
        <v>248</v>
      </c>
      <c r="F71" s="11"/>
      <c r="G71" s="14" t="s">
        <v>37</v>
      </c>
      <c r="H71" s="15"/>
      <c r="I71" s="15"/>
      <c r="J71" s="15"/>
    </row>
    <row r="72" spans="1:10" ht="26.4" x14ac:dyDescent="0.3">
      <c r="A72" s="11" t="s">
        <v>12</v>
      </c>
      <c r="B72" s="11" t="s">
        <v>33</v>
      </c>
      <c r="C72" s="12" t="s">
        <v>249</v>
      </c>
      <c r="D72" s="12" t="s">
        <v>250</v>
      </c>
      <c r="E72" s="13" t="s">
        <v>251</v>
      </c>
      <c r="F72" s="11"/>
      <c r="G72" s="14" t="s">
        <v>37</v>
      </c>
      <c r="H72" s="15"/>
      <c r="I72" s="15"/>
      <c r="J72" s="15"/>
    </row>
    <row r="73" spans="1:10" ht="26.4" x14ac:dyDescent="0.3">
      <c r="A73" s="11" t="s">
        <v>12</v>
      </c>
      <c r="B73" s="11" t="s">
        <v>33</v>
      </c>
      <c r="C73" s="12" t="s">
        <v>252</v>
      </c>
      <c r="D73" s="12" t="s">
        <v>253</v>
      </c>
      <c r="E73" s="13" t="s">
        <v>254</v>
      </c>
      <c r="F73" s="11"/>
      <c r="G73" s="14" t="s">
        <v>37</v>
      </c>
      <c r="H73" s="15"/>
      <c r="I73" s="15"/>
      <c r="J73" s="15"/>
    </row>
    <row r="74" spans="1:10" x14ac:dyDescent="0.3">
      <c r="A74" s="11" t="s">
        <v>12</v>
      </c>
      <c r="B74" s="11" t="s">
        <v>33</v>
      </c>
      <c r="C74" s="12" t="s">
        <v>255</v>
      </c>
      <c r="D74" s="12" t="s">
        <v>256</v>
      </c>
      <c r="E74" s="13" t="s">
        <v>257</v>
      </c>
      <c r="F74" s="11"/>
      <c r="G74" s="14" t="s">
        <v>37</v>
      </c>
      <c r="H74" s="15"/>
      <c r="I74" s="15"/>
      <c r="J74" s="15"/>
    </row>
    <row r="75" spans="1:10" ht="26.4" x14ac:dyDescent="0.3">
      <c r="A75" s="11" t="s">
        <v>12</v>
      </c>
      <c r="B75" s="11" t="s">
        <v>33</v>
      </c>
      <c r="C75" s="12" t="s">
        <v>258</v>
      </c>
      <c r="D75" s="12" t="s">
        <v>259</v>
      </c>
      <c r="E75" s="13" t="s">
        <v>260</v>
      </c>
      <c r="F75" s="11" t="s">
        <v>261</v>
      </c>
      <c r="G75" s="14" t="s">
        <v>37</v>
      </c>
      <c r="H75" s="15"/>
      <c r="I75" s="15"/>
      <c r="J75" s="15"/>
    </row>
    <row r="76" spans="1:10" x14ac:dyDescent="0.3">
      <c r="A76" s="11" t="s">
        <v>12</v>
      </c>
      <c r="B76" s="11" t="s">
        <v>33</v>
      </c>
      <c r="C76" s="12" t="s">
        <v>262</v>
      </c>
      <c r="D76" s="12" t="s">
        <v>263</v>
      </c>
      <c r="E76" s="13" t="s">
        <v>264</v>
      </c>
      <c r="F76" s="11" t="s">
        <v>265</v>
      </c>
      <c r="G76" s="14" t="s">
        <v>37</v>
      </c>
      <c r="H76" s="15"/>
      <c r="I76" s="15"/>
      <c r="J76" s="15"/>
    </row>
    <row r="77" spans="1:10" x14ac:dyDescent="0.3">
      <c r="A77" s="11" t="s">
        <v>12</v>
      </c>
      <c r="B77" s="11" t="s">
        <v>33</v>
      </c>
      <c r="C77" s="12" t="s">
        <v>266</v>
      </c>
      <c r="D77" s="12" t="s">
        <v>267</v>
      </c>
      <c r="E77" s="13" t="s">
        <v>268</v>
      </c>
      <c r="F77" s="11" t="s">
        <v>269</v>
      </c>
      <c r="G77" s="14" t="s">
        <v>37</v>
      </c>
      <c r="H77" s="15"/>
      <c r="I77" s="15"/>
      <c r="J77" s="15"/>
    </row>
    <row r="78" spans="1:10" x14ac:dyDescent="0.3">
      <c r="A78" s="11" t="s">
        <v>12</v>
      </c>
      <c r="B78" s="11" t="s">
        <v>33</v>
      </c>
      <c r="C78" s="12" t="s">
        <v>270</v>
      </c>
      <c r="D78" s="12" t="s">
        <v>271</v>
      </c>
      <c r="E78" s="13" t="s">
        <v>272</v>
      </c>
      <c r="F78" s="11"/>
      <c r="G78" s="14" t="s">
        <v>37</v>
      </c>
      <c r="H78" s="15"/>
      <c r="I78" s="15"/>
      <c r="J78" s="15"/>
    </row>
    <row r="79" spans="1:10" ht="26.4" x14ac:dyDescent="0.3">
      <c r="A79" s="11" t="s">
        <v>12</v>
      </c>
      <c r="B79" s="11" t="s">
        <v>33</v>
      </c>
      <c r="C79" s="12" t="s">
        <v>273</v>
      </c>
      <c r="D79" s="12" t="s">
        <v>274</v>
      </c>
      <c r="E79" s="13" t="s">
        <v>275</v>
      </c>
      <c r="F79" s="11"/>
      <c r="G79" s="14" t="s">
        <v>37</v>
      </c>
      <c r="H79" s="15"/>
      <c r="I79" s="15"/>
      <c r="J79" s="15"/>
    </row>
    <row r="80" spans="1:10" x14ac:dyDescent="0.3">
      <c r="A80" s="11" t="s">
        <v>13</v>
      </c>
      <c r="B80" s="11" t="s">
        <v>276</v>
      </c>
      <c r="C80" s="12" t="s">
        <v>277</v>
      </c>
      <c r="D80" s="12" t="s">
        <v>278</v>
      </c>
      <c r="E80" s="13" t="s">
        <v>279</v>
      </c>
      <c r="F80" s="11"/>
      <c r="G80" s="14" t="s">
        <v>37</v>
      </c>
      <c r="H80" s="15"/>
      <c r="I80" s="15"/>
      <c r="J80" s="15"/>
    </row>
    <row r="81" spans="1:10" ht="26.4" x14ac:dyDescent="0.3">
      <c r="A81" s="11" t="s">
        <v>13</v>
      </c>
      <c r="B81" s="11" t="s">
        <v>276</v>
      </c>
      <c r="C81" s="12" t="s">
        <v>280</v>
      </c>
      <c r="D81" s="12" t="s">
        <v>281</v>
      </c>
      <c r="E81" s="13" t="s">
        <v>282</v>
      </c>
      <c r="F81" s="11"/>
      <c r="G81" s="14" t="s">
        <v>37</v>
      </c>
      <c r="H81" s="15"/>
      <c r="I81" s="15"/>
      <c r="J81" s="15"/>
    </row>
    <row r="82" spans="1:10" x14ac:dyDescent="0.3">
      <c r="A82" s="11" t="s">
        <v>13</v>
      </c>
      <c r="B82" s="11" t="s">
        <v>276</v>
      </c>
      <c r="C82" s="12" t="s">
        <v>283</v>
      </c>
      <c r="D82" s="12" t="s">
        <v>284</v>
      </c>
      <c r="E82" s="13" t="s">
        <v>285</v>
      </c>
      <c r="F82" s="11"/>
      <c r="G82" s="14" t="s">
        <v>37</v>
      </c>
      <c r="H82" s="15"/>
      <c r="I82" s="15"/>
      <c r="J82" s="15"/>
    </row>
    <row r="83" spans="1:10" x14ac:dyDescent="0.3">
      <c r="A83" s="11" t="s">
        <v>13</v>
      </c>
      <c r="B83" s="11" t="s">
        <v>276</v>
      </c>
      <c r="C83" s="12" t="s">
        <v>286</v>
      </c>
      <c r="D83" s="12" t="s">
        <v>287</v>
      </c>
      <c r="E83" s="13" t="s">
        <v>288</v>
      </c>
      <c r="F83" s="11"/>
      <c r="G83" s="14" t="s">
        <v>37</v>
      </c>
      <c r="H83" s="15"/>
      <c r="I83" s="15"/>
      <c r="J83" s="15"/>
    </row>
    <row r="84" spans="1:10" x14ac:dyDescent="0.3">
      <c r="A84" s="11" t="s">
        <v>13</v>
      </c>
      <c r="B84" s="11" t="s">
        <v>276</v>
      </c>
      <c r="C84" s="12" t="s">
        <v>289</v>
      </c>
      <c r="D84" s="12" t="s">
        <v>290</v>
      </c>
      <c r="E84" s="13" t="s">
        <v>291</v>
      </c>
      <c r="F84" s="11" t="s">
        <v>292</v>
      </c>
      <c r="G84" s="14" t="s">
        <v>37</v>
      </c>
      <c r="H84" s="15"/>
      <c r="I84" s="15"/>
      <c r="J84" s="15"/>
    </row>
    <row r="85" spans="1:10" ht="26.4" x14ac:dyDescent="0.3">
      <c r="A85" s="11" t="s">
        <v>13</v>
      </c>
      <c r="B85" s="11" t="s">
        <v>276</v>
      </c>
      <c r="C85" s="12" t="s">
        <v>293</v>
      </c>
      <c r="D85" s="12" t="s">
        <v>294</v>
      </c>
      <c r="E85" s="13" t="s">
        <v>295</v>
      </c>
      <c r="F85" s="11" t="s">
        <v>296</v>
      </c>
      <c r="G85" s="14" t="s">
        <v>37</v>
      </c>
      <c r="H85" s="15"/>
      <c r="I85" s="15"/>
      <c r="J85" s="15"/>
    </row>
    <row r="86" spans="1:10" x14ac:dyDescent="0.3">
      <c r="A86" s="11" t="s">
        <v>13</v>
      </c>
      <c r="B86" s="11" t="s">
        <v>276</v>
      </c>
      <c r="C86" s="12" t="s">
        <v>297</v>
      </c>
      <c r="D86" s="12" t="s">
        <v>298</v>
      </c>
      <c r="E86" s="13" t="s">
        <v>299</v>
      </c>
      <c r="F86" s="11"/>
      <c r="G86" s="14" t="s">
        <v>37</v>
      </c>
      <c r="H86" s="15"/>
      <c r="I86" s="15"/>
      <c r="J86" s="15"/>
    </row>
    <row r="87" spans="1:10" ht="26.4" x14ac:dyDescent="0.3">
      <c r="A87" s="11" t="s">
        <v>13</v>
      </c>
      <c r="B87" s="11" t="s">
        <v>276</v>
      </c>
      <c r="C87" s="12" t="s">
        <v>300</v>
      </c>
      <c r="D87" s="12" t="s">
        <v>301</v>
      </c>
      <c r="E87" s="13" t="s">
        <v>302</v>
      </c>
      <c r="F87" s="11"/>
      <c r="G87" s="14" t="s">
        <v>37</v>
      </c>
      <c r="H87" s="15"/>
      <c r="I87" s="15"/>
      <c r="J87" s="15"/>
    </row>
    <row r="88" spans="1:10" ht="26.4" x14ac:dyDescent="0.3">
      <c r="A88" s="11" t="s">
        <v>13</v>
      </c>
      <c r="B88" s="11" t="s">
        <v>276</v>
      </c>
      <c r="C88" s="12" t="s">
        <v>303</v>
      </c>
      <c r="D88" s="12" t="s">
        <v>304</v>
      </c>
      <c r="E88" s="13" t="s">
        <v>305</v>
      </c>
      <c r="F88" s="11"/>
      <c r="G88" s="14" t="s">
        <v>37</v>
      </c>
      <c r="H88" s="15"/>
      <c r="I88" s="15"/>
      <c r="J88" s="15"/>
    </row>
    <row r="89" spans="1:10" x14ac:dyDescent="0.3">
      <c r="A89" s="11" t="s">
        <v>13</v>
      </c>
      <c r="B89" s="11" t="s">
        <v>276</v>
      </c>
      <c r="C89" s="12" t="s">
        <v>306</v>
      </c>
      <c r="D89" s="12" t="s">
        <v>307</v>
      </c>
      <c r="E89" s="13" t="s">
        <v>308</v>
      </c>
      <c r="F89" s="11"/>
      <c r="G89" s="14" t="s">
        <v>37</v>
      </c>
      <c r="H89" s="15"/>
      <c r="I89" s="15"/>
      <c r="J89" s="15"/>
    </row>
    <row r="90" spans="1:10" x14ac:dyDescent="0.3">
      <c r="A90" s="11" t="s">
        <v>13</v>
      </c>
      <c r="B90" s="11" t="s">
        <v>276</v>
      </c>
      <c r="C90" s="12" t="s">
        <v>178</v>
      </c>
      <c r="D90" s="12" t="s">
        <v>309</v>
      </c>
      <c r="E90" s="13" t="s">
        <v>310</v>
      </c>
      <c r="F90" s="11"/>
      <c r="G90" s="14" t="s">
        <v>37</v>
      </c>
      <c r="H90" s="15"/>
      <c r="I90" s="15"/>
      <c r="J90" s="15"/>
    </row>
    <row r="91" spans="1:10" x14ac:dyDescent="0.3">
      <c r="A91" s="11" t="s">
        <v>13</v>
      </c>
      <c r="B91" s="11" t="s">
        <v>276</v>
      </c>
      <c r="C91" s="12" t="s">
        <v>311</v>
      </c>
      <c r="D91" s="12" t="s">
        <v>312</v>
      </c>
      <c r="E91" s="13" t="s">
        <v>313</v>
      </c>
      <c r="F91" s="11"/>
      <c r="G91" s="14" t="s">
        <v>37</v>
      </c>
      <c r="H91" s="15"/>
      <c r="I91" s="15"/>
      <c r="J91" s="15"/>
    </row>
    <row r="92" spans="1:10" ht="26.4" x14ac:dyDescent="0.3">
      <c r="A92" s="11" t="s">
        <v>13</v>
      </c>
      <c r="B92" s="11" t="s">
        <v>276</v>
      </c>
      <c r="C92" s="12" t="s">
        <v>314</v>
      </c>
      <c r="D92" s="12" t="s">
        <v>315</v>
      </c>
      <c r="E92" s="13" t="s">
        <v>316</v>
      </c>
      <c r="F92" s="11"/>
      <c r="G92" s="14" t="s">
        <v>37</v>
      </c>
      <c r="H92" s="15"/>
      <c r="I92" s="15"/>
      <c r="J92" s="15"/>
    </row>
    <row r="93" spans="1:10" x14ac:dyDescent="0.3">
      <c r="A93" s="11" t="s">
        <v>13</v>
      </c>
      <c r="B93" s="11" t="s">
        <v>276</v>
      </c>
      <c r="C93" s="12" t="s">
        <v>317</v>
      </c>
      <c r="D93" s="12" t="s">
        <v>318</v>
      </c>
      <c r="E93" s="13" t="s">
        <v>319</v>
      </c>
      <c r="F93" s="11"/>
      <c r="G93" s="14" t="s">
        <v>37</v>
      </c>
      <c r="H93" s="15"/>
      <c r="I93" s="15"/>
      <c r="J93" s="15"/>
    </row>
    <row r="94" spans="1:10" x14ac:dyDescent="0.3">
      <c r="A94" s="11" t="s">
        <v>13</v>
      </c>
      <c r="B94" s="11" t="s">
        <v>276</v>
      </c>
      <c r="C94" s="12" t="s">
        <v>320</v>
      </c>
      <c r="D94" s="12" t="s">
        <v>321</v>
      </c>
      <c r="E94" s="13" t="s">
        <v>322</v>
      </c>
      <c r="F94" s="11" t="s">
        <v>323</v>
      </c>
      <c r="G94" s="14" t="s">
        <v>37</v>
      </c>
      <c r="H94" s="15"/>
      <c r="I94" s="15"/>
      <c r="J94" s="15"/>
    </row>
    <row r="95" spans="1:10" x14ac:dyDescent="0.3">
      <c r="A95" s="11" t="s">
        <v>13</v>
      </c>
      <c r="B95" s="11" t="s">
        <v>276</v>
      </c>
      <c r="C95" s="12" t="s">
        <v>324</v>
      </c>
      <c r="D95" s="12" t="s">
        <v>325</v>
      </c>
      <c r="E95" s="13" t="s">
        <v>326</v>
      </c>
      <c r="F95" s="11"/>
      <c r="G95" s="14" t="s">
        <v>37</v>
      </c>
      <c r="H95" s="15"/>
      <c r="I95" s="15"/>
      <c r="J95" s="15"/>
    </row>
    <row r="96" spans="1:10" ht="26.4" x14ac:dyDescent="0.3">
      <c r="A96" s="11" t="s">
        <v>13</v>
      </c>
      <c r="B96" s="11" t="s">
        <v>276</v>
      </c>
      <c r="C96" s="12" t="s">
        <v>327</v>
      </c>
      <c r="D96" s="12" t="s">
        <v>328</v>
      </c>
      <c r="E96" s="13" t="s">
        <v>329</v>
      </c>
      <c r="F96" s="11"/>
      <c r="G96" s="14" t="s">
        <v>37</v>
      </c>
      <c r="H96" s="15"/>
      <c r="I96" s="15"/>
      <c r="J96" s="15"/>
    </row>
    <row r="97" spans="1:10" x14ac:dyDescent="0.3">
      <c r="A97" s="11" t="s">
        <v>13</v>
      </c>
      <c r="B97" s="11" t="s">
        <v>276</v>
      </c>
      <c r="C97" s="12" t="s">
        <v>330</v>
      </c>
      <c r="D97" s="12" t="s">
        <v>331</v>
      </c>
      <c r="E97" s="13" t="s">
        <v>332</v>
      </c>
      <c r="F97" s="11"/>
      <c r="G97" s="14" t="s">
        <v>37</v>
      </c>
      <c r="H97" s="15"/>
      <c r="I97" s="15"/>
      <c r="J97" s="15"/>
    </row>
    <row r="98" spans="1:10" x14ac:dyDescent="0.3">
      <c r="A98" s="11" t="s">
        <v>13</v>
      </c>
      <c r="B98" s="11" t="s">
        <v>276</v>
      </c>
      <c r="C98" s="12" t="s">
        <v>333</v>
      </c>
      <c r="D98" s="12" t="s">
        <v>334</v>
      </c>
      <c r="E98" s="13" t="s">
        <v>335</v>
      </c>
      <c r="F98" s="11"/>
      <c r="G98" s="14" t="s">
        <v>37</v>
      </c>
      <c r="H98" s="15"/>
      <c r="I98" s="15"/>
      <c r="J98" s="15"/>
    </row>
    <row r="99" spans="1:10" x14ac:dyDescent="0.3">
      <c r="A99" s="11" t="s">
        <v>13</v>
      </c>
      <c r="B99" s="11" t="s">
        <v>336</v>
      </c>
      <c r="C99" s="12" t="s">
        <v>337</v>
      </c>
      <c r="D99" s="12" t="s">
        <v>338</v>
      </c>
      <c r="E99" s="13" t="s">
        <v>339</v>
      </c>
      <c r="F99" s="11"/>
      <c r="G99" s="14" t="s">
        <v>37</v>
      </c>
      <c r="H99" s="15"/>
      <c r="I99" s="15"/>
      <c r="J99" s="15"/>
    </row>
    <row r="100" spans="1:10" x14ac:dyDescent="0.3">
      <c r="A100" s="11" t="s">
        <v>13</v>
      </c>
      <c r="B100" s="11" t="s">
        <v>336</v>
      </c>
      <c r="C100" s="12" t="s">
        <v>340</v>
      </c>
      <c r="D100" s="12" t="s">
        <v>341</v>
      </c>
      <c r="E100" s="13" t="s">
        <v>342</v>
      </c>
      <c r="F100" s="11"/>
      <c r="G100" s="14" t="s">
        <v>37</v>
      </c>
      <c r="H100" s="15"/>
      <c r="I100" s="15"/>
      <c r="J100" s="15"/>
    </row>
    <row r="101" spans="1:10" x14ac:dyDescent="0.3">
      <c r="A101" s="11" t="s">
        <v>13</v>
      </c>
      <c r="B101" s="11" t="s">
        <v>336</v>
      </c>
      <c r="C101" s="12" t="s">
        <v>88</v>
      </c>
      <c r="D101" s="12" t="s">
        <v>343</v>
      </c>
      <c r="E101" s="13" t="s">
        <v>344</v>
      </c>
      <c r="F101" s="11"/>
      <c r="G101" s="14" t="s">
        <v>37</v>
      </c>
      <c r="H101" s="15"/>
      <c r="I101" s="15"/>
      <c r="J101" s="15"/>
    </row>
    <row r="102" spans="1:10" x14ac:dyDescent="0.3">
      <c r="A102" s="11" t="s">
        <v>13</v>
      </c>
      <c r="B102" s="11" t="s">
        <v>336</v>
      </c>
      <c r="C102" s="12" t="s">
        <v>345</v>
      </c>
      <c r="D102" s="12" t="s">
        <v>346</v>
      </c>
      <c r="E102" s="13" t="s">
        <v>347</v>
      </c>
      <c r="F102" s="11"/>
      <c r="G102" s="14" t="s">
        <v>37</v>
      </c>
      <c r="H102" s="15"/>
      <c r="I102" s="15"/>
      <c r="J102" s="15"/>
    </row>
    <row r="103" spans="1:10" ht="26.4" x14ac:dyDescent="0.3">
      <c r="A103" s="11" t="s">
        <v>13</v>
      </c>
      <c r="B103" s="11" t="s">
        <v>336</v>
      </c>
      <c r="C103" s="12" t="s">
        <v>348</v>
      </c>
      <c r="D103" s="12" t="s">
        <v>349</v>
      </c>
      <c r="E103" s="13" t="s">
        <v>350</v>
      </c>
      <c r="F103" s="11"/>
      <c r="G103" s="14" t="s">
        <v>37</v>
      </c>
      <c r="H103" s="15"/>
      <c r="I103" s="15"/>
      <c r="J103" s="15"/>
    </row>
    <row r="104" spans="1:10" ht="26.4" x14ac:dyDescent="0.3">
      <c r="A104" s="11" t="s">
        <v>13</v>
      </c>
      <c r="B104" s="11" t="s">
        <v>336</v>
      </c>
      <c r="C104" s="12" t="s">
        <v>178</v>
      </c>
      <c r="D104" s="12" t="s">
        <v>351</v>
      </c>
      <c r="E104" s="13" t="s">
        <v>352</v>
      </c>
      <c r="F104" s="11"/>
      <c r="G104" s="14" t="s">
        <v>37</v>
      </c>
      <c r="H104" s="15"/>
      <c r="I104" s="15"/>
      <c r="J104" s="15"/>
    </row>
    <row r="105" spans="1:10" x14ac:dyDescent="0.3">
      <c r="A105" s="11" t="s">
        <v>13</v>
      </c>
      <c r="B105" s="11" t="s">
        <v>336</v>
      </c>
      <c r="C105" s="12" t="s">
        <v>353</v>
      </c>
      <c r="D105" s="12" t="s">
        <v>354</v>
      </c>
      <c r="E105" s="13" t="s">
        <v>355</v>
      </c>
      <c r="F105" s="11"/>
      <c r="G105" s="14" t="s">
        <v>37</v>
      </c>
      <c r="H105" s="15"/>
      <c r="I105" s="15"/>
      <c r="J105" s="15"/>
    </row>
    <row r="106" spans="1:10" x14ac:dyDescent="0.3">
      <c r="A106" s="11" t="s">
        <v>13</v>
      </c>
      <c r="B106" s="11" t="s">
        <v>336</v>
      </c>
      <c r="C106" s="12" t="s">
        <v>356</v>
      </c>
      <c r="D106" s="12" t="s">
        <v>357</v>
      </c>
      <c r="E106" s="13" t="s">
        <v>358</v>
      </c>
      <c r="F106" s="11"/>
      <c r="G106" s="14" t="s">
        <v>37</v>
      </c>
      <c r="H106" s="15"/>
      <c r="I106" s="15"/>
      <c r="J106" s="15"/>
    </row>
    <row r="107" spans="1:10" ht="26.4" x14ac:dyDescent="0.3">
      <c r="A107" s="11" t="s">
        <v>14</v>
      </c>
      <c r="B107" s="11" t="s">
        <v>14</v>
      </c>
      <c r="C107" s="12" t="s">
        <v>359</v>
      </c>
      <c r="D107" s="12" t="s">
        <v>360</v>
      </c>
      <c r="E107" s="13" t="s">
        <v>361</v>
      </c>
      <c r="F107" s="11"/>
      <c r="G107" s="14" t="s">
        <v>37</v>
      </c>
      <c r="H107" s="15"/>
      <c r="I107" s="15"/>
      <c r="J107" s="15"/>
    </row>
    <row r="108" spans="1:10" ht="26.4" x14ac:dyDescent="0.3">
      <c r="A108" s="11" t="s">
        <v>14</v>
      </c>
      <c r="B108" s="11" t="s">
        <v>14</v>
      </c>
      <c r="C108" s="12" t="s">
        <v>362</v>
      </c>
      <c r="D108" s="12" t="s">
        <v>363</v>
      </c>
      <c r="E108" s="13" t="s">
        <v>364</v>
      </c>
      <c r="F108" s="11"/>
      <c r="G108" s="14" t="s">
        <v>37</v>
      </c>
      <c r="H108" s="15"/>
      <c r="I108" s="15"/>
      <c r="J108" s="15"/>
    </row>
    <row r="109" spans="1:10" x14ac:dyDescent="0.3">
      <c r="A109" s="11" t="s">
        <v>14</v>
      </c>
      <c r="B109" s="11" t="s">
        <v>14</v>
      </c>
      <c r="C109" s="12" t="s">
        <v>365</v>
      </c>
      <c r="D109" s="12" t="s">
        <v>366</v>
      </c>
      <c r="E109" s="13" t="s">
        <v>367</v>
      </c>
      <c r="F109" s="11"/>
      <c r="G109" s="14" t="s">
        <v>37</v>
      </c>
      <c r="H109" s="15"/>
      <c r="I109" s="15"/>
      <c r="J109" s="15"/>
    </row>
    <row r="110" spans="1:10" ht="26.4" x14ac:dyDescent="0.3">
      <c r="A110" s="11" t="s">
        <v>14</v>
      </c>
      <c r="B110" s="11" t="s">
        <v>14</v>
      </c>
      <c r="C110" s="12" t="s">
        <v>368</v>
      </c>
      <c r="D110" s="12" t="s">
        <v>369</v>
      </c>
      <c r="E110" s="13" t="s">
        <v>370</v>
      </c>
      <c r="F110" s="11" t="s">
        <v>371</v>
      </c>
      <c r="G110" s="14" t="s">
        <v>37</v>
      </c>
      <c r="H110" s="15"/>
      <c r="I110" s="15"/>
      <c r="J110" s="15"/>
    </row>
    <row r="111" spans="1:10" ht="26.4" x14ac:dyDescent="0.3">
      <c r="A111" s="11" t="s">
        <v>14</v>
      </c>
      <c r="B111" s="11" t="s">
        <v>14</v>
      </c>
      <c r="C111" s="12" t="s">
        <v>372</v>
      </c>
      <c r="D111" s="12" t="s">
        <v>373</v>
      </c>
      <c r="E111" s="13" t="s">
        <v>374</v>
      </c>
      <c r="F111" s="11"/>
      <c r="G111" s="14" t="s">
        <v>37</v>
      </c>
      <c r="H111" s="15"/>
      <c r="I111" s="15"/>
      <c r="J111" s="15"/>
    </row>
    <row r="112" spans="1:10" ht="26.4" x14ac:dyDescent="0.3">
      <c r="A112" s="11" t="s">
        <v>14</v>
      </c>
      <c r="B112" s="11" t="s">
        <v>14</v>
      </c>
      <c r="C112" s="12" t="s">
        <v>375</v>
      </c>
      <c r="D112" s="12" t="s">
        <v>376</v>
      </c>
      <c r="E112" s="13" t="s">
        <v>377</v>
      </c>
      <c r="F112" s="11" t="s">
        <v>378</v>
      </c>
      <c r="G112" s="14" t="s">
        <v>37</v>
      </c>
      <c r="H112" s="15"/>
      <c r="I112" s="15"/>
      <c r="J112" s="15"/>
    </row>
    <row r="113" spans="1:10" x14ac:dyDescent="0.3">
      <c r="A113" s="11" t="s">
        <v>14</v>
      </c>
      <c r="B113" s="11" t="s">
        <v>14</v>
      </c>
      <c r="C113" s="12" t="s">
        <v>379</v>
      </c>
      <c r="D113" s="12" t="s">
        <v>380</v>
      </c>
      <c r="E113" s="13" t="s">
        <v>381</v>
      </c>
      <c r="F113" s="11"/>
      <c r="G113" s="14" t="s">
        <v>37</v>
      </c>
      <c r="H113" s="15"/>
      <c r="I113" s="15"/>
      <c r="J113" s="15"/>
    </row>
    <row r="114" spans="1:10" x14ac:dyDescent="0.3">
      <c r="A114" s="11" t="s">
        <v>14</v>
      </c>
      <c r="B114" s="11" t="s">
        <v>14</v>
      </c>
      <c r="C114" s="12" t="s">
        <v>382</v>
      </c>
      <c r="D114" s="12" t="s">
        <v>383</v>
      </c>
      <c r="E114" s="13" t="s">
        <v>384</v>
      </c>
      <c r="F114" s="11"/>
      <c r="G114" s="14" t="s">
        <v>37</v>
      </c>
      <c r="H114" s="15"/>
      <c r="I114" s="15"/>
      <c r="J114" s="15"/>
    </row>
    <row r="115" spans="1:10" ht="26.4" x14ac:dyDescent="0.3">
      <c r="A115" s="11" t="s">
        <v>14</v>
      </c>
      <c r="B115" s="11" t="s">
        <v>14</v>
      </c>
      <c r="C115" s="12" t="s">
        <v>385</v>
      </c>
      <c r="D115" s="12" t="s">
        <v>386</v>
      </c>
      <c r="E115" s="13" t="s">
        <v>387</v>
      </c>
      <c r="F115" s="11"/>
      <c r="G115" s="14" t="s">
        <v>37</v>
      </c>
      <c r="H115" s="15"/>
      <c r="I115" s="15"/>
      <c r="J115" s="15"/>
    </row>
    <row r="116" spans="1:10" ht="26.4" x14ac:dyDescent="0.3">
      <c r="A116" s="11" t="s">
        <v>14</v>
      </c>
      <c r="B116" s="11" t="s">
        <v>14</v>
      </c>
      <c r="C116" s="12" t="s">
        <v>388</v>
      </c>
      <c r="D116" s="12" t="s">
        <v>389</v>
      </c>
      <c r="E116" s="13" t="s">
        <v>390</v>
      </c>
      <c r="F116" s="11"/>
      <c r="G116" s="14" t="s">
        <v>37</v>
      </c>
      <c r="H116" s="15"/>
      <c r="I116" s="15"/>
      <c r="J116" s="15"/>
    </row>
    <row r="117" spans="1:10" ht="26.4" x14ac:dyDescent="0.3">
      <c r="A117" s="11" t="s">
        <v>14</v>
      </c>
      <c r="B117" s="11" t="s">
        <v>14</v>
      </c>
      <c r="C117" s="12" t="s">
        <v>391</v>
      </c>
      <c r="D117" s="12" t="s">
        <v>392</v>
      </c>
      <c r="E117" s="13" t="s">
        <v>393</v>
      </c>
      <c r="F117" s="11"/>
      <c r="G117" s="14" t="s">
        <v>37</v>
      </c>
      <c r="H117" s="15"/>
      <c r="I117" s="15"/>
      <c r="J117" s="15"/>
    </row>
    <row r="118" spans="1:10" ht="26.4" x14ac:dyDescent="0.3">
      <c r="A118" s="11" t="s">
        <v>14</v>
      </c>
      <c r="B118" s="11" t="s">
        <v>14</v>
      </c>
      <c r="C118" s="12" t="s">
        <v>394</v>
      </c>
      <c r="D118" s="12" t="s">
        <v>395</v>
      </c>
      <c r="E118" s="13" t="s">
        <v>396</v>
      </c>
      <c r="F118" s="11"/>
      <c r="G118" s="14" t="s">
        <v>37</v>
      </c>
      <c r="H118" s="15"/>
      <c r="I118" s="15"/>
      <c r="J118" s="15"/>
    </row>
    <row r="119" spans="1:10" ht="26.4" x14ac:dyDescent="0.3">
      <c r="A119" s="11" t="s">
        <v>14</v>
      </c>
      <c r="B119" s="11" t="s">
        <v>14</v>
      </c>
      <c r="C119" s="12" t="s">
        <v>397</v>
      </c>
      <c r="D119" s="12" t="s">
        <v>398</v>
      </c>
      <c r="E119" s="13" t="s">
        <v>399</v>
      </c>
      <c r="F119" s="11" t="s">
        <v>400</v>
      </c>
      <c r="G119" s="14" t="s">
        <v>37</v>
      </c>
      <c r="H119" s="15"/>
      <c r="I119" s="15"/>
      <c r="J119" s="15"/>
    </row>
    <row r="120" spans="1:10" x14ac:dyDescent="0.3">
      <c r="A120" s="11" t="s">
        <v>14</v>
      </c>
      <c r="B120" s="11" t="s">
        <v>14</v>
      </c>
      <c r="C120" s="12" t="s">
        <v>401</v>
      </c>
      <c r="D120" s="12" t="s">
        <v>402</v>
      </c>
      <c r="E120" s="13" t="s">
        <v>403</v>
      </c>
      <c r="F120" s="11"/>
      <c r="G120" s="14" t="s">
        <v>37</v>
      </c>
      <c r="H120" s="15"/>
      <c r="I120" s="15"/>
      <c r="J120" s="15"/>
    </row>
    <row r="121" spans="1:10" x14ac:dyDescent="0.3">
      <c r="A121" s="11" t="s">
        <v>14</v>
      </c>
      <c r="B121" s="11" t="s">
        <v>14</v>
      </c>
      <c r="C121" s="12" t="s">
        <v>404</v>
      </c>
      <c r="D121" s="12" t="s">
        <v>405</v>
      </c>
      <c r="E121" s="13" t="s">
        <v>406</v>
      </c>
      <c r="F121" s="11" t="s">
        <v>407</v>
      </c>
      <c r="G121" s="14" t="s">
        <v>37</v>
      </c>
      <c r="H121" s="15"/>
      <c r="I121" s="15"/>
      <c r="J121" s="15"/>
    </row>
    <row r="122" spans="1:10" x14ac:dyDescent="0.3">
      <c r="A122" s="11" t="s">
        <v>14</v>
      </c>
      <c r="B122" s="11" t="s">
        <v>14</v>
      </c>
      <c r="C122" s="12" t="s">
        <v>408</v>
      </c>
      <c r="D122" s="12" t="s">
        <v>409</v>
      </c>
      <c r="E122" s="13" t="s">
        <v>410</v>
      </c>
      <c r="F122" s="11" t="s">
        <v>411</v>
      </c>
      <c r="G122" s="14" t="s">
        <v>37</v>
      </c>
      <c r="H122" s="15"/>
      <c r="I122" s="15"/>
      <c r="J122" s="15"/>
    </row>
    <row r="123" spans="1:10" x14ac:dyDescent="0.3">
      <c r="A123" s="11" t="s">
        <v>14</v>
      </c>
      <c r="B123" s="11" t="s">
        <v>14</v>
      </c>
      <c r="C123" s="12" t="s">
        <v>412</v>
      </c>
      <c r="D123" s="12" t="s">
        <v>413</v>
      </c>
      <c r="E123" s="13" t="s">
        <v>367</v>
      </c>
      <c r="F123" s="11"/>
      <c r="G123" s="14" t="s">
        <v>37</v>
      </c>
      <c r="H123" s="15"/>
      <c r="I123" s="15"/>
      <c r="J123" s="15"/>
    </row>
    <row r="124" spans="1:10" x14ac:dyDescent="0.3">
      <c r="A124" s="11" t="s">
        <v>14</v>
      </c>
      <c r="B124" s="11" t="s">
        <v>14</v>
      </c>
      <c r="C124" s="12" t="s">
        <v>414</v>
      </c>
      <c r="D124" s="12" t="s">
        <v>415</v>
      </c>
      <c r="E124" s="13" t="s">
        <v>416</v>
      </c>
      <c r="F124" s="11"/>
      <c r="G124" s="14" t="s">
        <v>37</v>
      </c>
      <c r="H124" s="15"/>
      <c r="I124" s="15"/>
      <c r="J124" s="15"/>
    </row>
    <row r="125" spans="1:10" x14ac:dyDescent="0.3">
      <c r="A125" s="11" t="s">
        <v>14</v>
      </c>
      <c r="B125" s="11" t="s">
        <v>14</v>
      </c>
      <c r="C125" s="12" t="s">
        <v>417</v>
      </c>
      <c r="D125" s="12" t="s">
        <v>418</v>
      </c>
      <c r="E125" s="13" t="s">
        <v>419</v>
      </c>
      <c r="F125" s="11"/>
      <c r="G125" s="14" t="s">
        <v>37</v>
      </c>
      <c r="H125" s="15"/>
      <c r="I125" s="15"/>
      <c r="J125" s="15"/>
    </row>
    <row r="126" spans="1:10" ht="26.4" x14ac:dyDescent="0.3">
      <c r="A126" s="11" t="s">
        <v>14</v>
      </c>
      <c r="B126" s="11" t="s">
        <v>14</v>
      </c>
      <c r="C126" s="12" t="s">
        <v>420</v>
      </c>
      <c r="D126" s="12" t="s">
        <v>421</v>
      </c>
      <c r="E126" s="13" t="s">
        <v>422</v>
      </c>
      <c r="F126" s="11"/>
      <c r="G126" s="14" t="s">
        <v>37</v>
      </c>
      <c r="H126" s="15"/>
      <c r="I126" s="15"/>
      <c r="J126" s="15"/>
    </row>
    <row r="127" spans="1:10" x14ac:dyDescent="0.3">
      <c r="A127" s="11" t="s">
        <v>14</v>
      </c>
      <c r="B127" s="11" t="s">
        <v>14</v>
      </c>
      <c r="C127" s="12" t="s">
        <v>423</v>
      </c>
      <c r="D127" s="12" t="s">
        <v>424</v>
      </c>
      <c r="E127" s="13" t="s">
        <v>425</v>
      </c>
      <c r="F127" s="11"/>
      <c r="G127" s="14" t="s">
        <v>37</v>
      </c>
      <c r="H127" s="15"/>
      <c r="I127" s="15"/>
      <c r="J127" s="15"/>
    </row>
    <row r="128" spans="1:10" x14ac:dyDescent="0.3">
      <c r="A128" s="11" t="s">
        <v>14</v>
      </c>
      <c r="B128" s="11" t="s">
        <v>14</v>
      </c>
      <c r="C128" s="12" t="s">
        <v>426</v>
      </c>
      <c r="D128" s="12" t="s">
        <v>427</v>
      </c>
      <c r="E128" s="13" t="s">
        <v>428</v>
      </c>
      <c r="F128" s="11"/>
      <c r="G128" s="14" t="s">
        <v>37</v>
      </c>
      <c r="H128" s="15"/>
      <c r="I128" s="15"/>
      <c r="J128" s="15"/>
    </row>
    <row r="129" spans="1:10" x14ac:dyDescent="0.3">
      <c r="A129" s="11" t="s">
        <v>14</v>
      </c>
      <c r="B129" s="11" t="s">
        <v>14</v>
      </c>
      <c r="C129" s="12" t="s">
        <v>25</v>
      </c>
      <c r="D129" s="12" t="s">
        <v>429</v>
      </c>
      <c r="E129" s="13" t="s">
        <v>430</v>
      </c>
      <c r="F129" s="11"/>
      <c r="G129" s="14" t="s">
        <v>37</v>
      </c>
      <c r="H129" s="15"/>
      <c r="I129" s="15"/>
      <c r="J129" s="15"/>
    </row>
    <row r="130" spans="1:10" ht="26.4" x14ac:dyDescent="0.3">
      <c r="A130" s="11" t="s">
        <v>14</v>
      </c>
      <c r="B130" s="11" t="s">
        <v>14</v>
      </c>
      <c r="C130" s="12" t="s">
        <v>25</v>
      </c>
      <c r="D130" s="12" t="s">
        <v>431</v>
      </c>
      <c r="E130" s="13" t="s">
        <v>432</v>
      </c>
      <c r="F130" s="11"/>
      <c r="G130" s="14" t="s">
        <v>37</v>
      </c>
      <c r="H130" s="15"/>
      <c r="I130" s="15"/>
      <c r="J130" s="15"/>
    </row>
    <row r="131" spans="1:10" x14ac:dyDescent="0.3">
      <c r="A131" s="11" t="s">
        <v>14</v>
      </c>
      <c r="B131" s="11" t="s">
        <v>14</v>
      </c>
      <c r="C131" s="12" t="s">
        <v>433</v>
      </c>
      <c r="D131" s="12" t="s">
        <v>434</v>
      </c>
      <c r="E131" s="13" t="s">
        <v>435</v>
      </c>
      <c r="F131" s="11"/>
      <c r="G131" s="14" t="s">
        <v>37</v>
      </c>
      <c r="H131" s="15"/>
      <c r="I131" s="15"/>
      <c r="J131" s="15"/>
    </row>
    <row r="132" spans="1:10" ht="26.4" x14ac:dyDescent="0.3">
      <c r="A132" s="11" t="s">
        <v>14</v>
      </c>
      <c r="B132" s="11" t="s">
        <v>14</v>
      </c>
      <c r="C132" s="12" t="s">
        <v>436</v>
      </c>
      <c r="D132" s="12" t="s">
        <v>437</v>
      </c>
      <c r="E132" s="13" t="s">
        <v>438</v>
      </c>
      <c r="F132" s="11"/>
      <c r="G132" s="14" t="s">
        <v>37</v>
      </c>
      <c r="H132" s="15"/>
      <c r="I132" s="15"/>
      <c r="J132" s="15"/>
    </row>
    <row r="133" spans="1:10" ht="26.4" x14ac:dyDescent="0.3">
      <c r="A133" s="11" t="s">
        <v>14</v>
      </c>
      <c r="B133" s="11" t="s">
        <v>14</v>
      </c>
      <c r="C133" s="12" t="s">
        <v>439</v>
      </c>
      <c r="D133" s="12" t="s">
        <v>440</v>
      </c>
      <c r="E133" s="13" t="s">
        <v>441</v>
      </c>
      <c r="F133" s="11"/>
      <c r="G133" s="14" t="s">
        <v>37</v>
      </c>
      <c r="H133" s="15"/>
      <c r="I133" s="15"/>
      <c r="J133" s="15"/>
    </row>
    <row r="134" spans="1:10" ht="26.4" x14ac:dyDescent="0.3">
      <c r="A134" s="11" t="s">
        <v>14</v>
      </c>
      <c r="B134" s="11" t="s">
        <v>14</v>
      </c>
      <c r="C134" s="12" t="s">
        <v>442</v>
      </c>
      <c r="D134" s="12" t="s">
        <v>443</v>
      </c>
      <c r="E134" s="13" t="s">
        <v>444</v>
      </c>
      <c r="F134" s="11"/>
      <c r="G134" s="14" t="s">
        <v>37</v>
      </c>
      <c r="H134" s="15"/>
      <c r="I134" s="15"/>
      <c r="J134" s="15"/>
    </row>
    <row r="135" spans="1:10" ht="26.4" x14ac:dyDescent="0.3">
      <c r="A135" s="11" t="s">
        <v>14</v>
      </c>
      <c r="B135" s="11" t="s">
        <v>14</v>
      </c>
      <c r="C135" s="12" t="s">
        <v>445</v>
      </c>
      <c r="D135" s="12" t="s">
        <v>446</v>
      </c>
      <c r="E135" s="13" t="s">
        <v>447</v>
      </c>
      <c r="F135" s="11" t="s">
        <v>448</v>
      </c>
      <c r="G135" s="14" t="s">
        <v>37</v>
      </c>
      <c r="H135" s="15"/>
      <c r="I135" s="15"/>
      <c r="J135" s="15"/>
    </row>
    <row r="136" spans="1:10" x14ac:dyDescent="0.3">
      <c r="A136" s="11" t="s">
        <v>14</v>
      </c>
      <c r="B136" s="11" t="s">
        <v>14</v>
      </c>
      <c r="C136" s="12" t="s">
        <v>449</v>
      </c>
      <c r="D136" s="12" t="s">
        <v>450</v>
      </c>
      <c r="E136" s="13" t="s">
        <v>451</v>
      </c>
      <c r="F136" s="11" t="s">
        <v>452</v>
      </c>
      <c r="G136" s="14" t="s">
        <v>37</v>
      </c>
      <c r="H136" s="15"/>
      <c r="I136" s="15"/>
      <c r="J136" s="15"/>
    </row>
    <row r="137" spans="1:10" x14ac:dyDescent="0.3">
      <c r="A137" s="11" t="s">
        <v>14</v>
      </c>
      <c r="B137" s="11" t="s">
        <v>14</v>
      </c>
      <c r="C137" s="12" t="s">
        <v>453</v>
      </c>
      <c r="D137" s="12" t="s">
        <v>454</v>
      </c>
      <c r="E137" s="13" t="s">
        <v>455</v>
      </c>
      <c r="F137" s="11"/>
      <c r="G137" s="14" t="s">
        <v>37</v>
      </c>
      <c r="H137" s="15"/>
      <c r="I137" s="15"/>
      <c r="J137" s="15"/>
    </row>
    <row r="138" spans="1:10" ht="26.4" x14ac:dyDescent="0.3">
      <c r="A138" s="11" t="s">
        <v>14</v>
      </c>
      <c r="B138" s="11" t="s">
        <v>14</v>
      </c>
      <c r="C138" s="12" t="s">
        <v>456</v>
      </c>
      <c r="D138" s="12" t="s">
        <v>457</v>
      </c>
      <c r="E138" s="13" t="s">
        <v>458</v>
      </c>
      <c r="F138" s="11"/>
      <c r="G138" s="14" t="s">
        <v>37</v>
      </c>
      <c r="H138" s="15"/>
      <c r="I138" s="15"/>
      <c r="J138" s="15"/>
    </row>
    <row r="139" spans="1:10" ht="26.4" x14ac:dyDescent="0.3">
      <c r="A139" s="11" t="s">
        <v>14</v>
      </c>
      <c r="B139" s="11" t="s">
        <v>14</v>
      </c>
      <c r="C139" s="12" t="s">
        <v>459</v>
      </c>
      <c r="D139" s="12" t="s">
        <v>460</v>
      </c>
      <c r="E139" s="13" t="s">
        <v>461</v>
      </c>
      <c r="F139" s="11" t="s">
        <v>462</v>
      </c>
      <c r="G139" s="14" t="s">
        <v>37</v>
      </c>
      <c r="H139" s="15"/>
      <c r="I139" s="15"/>
      <c r="J139" s="15"/>
    </row>
    <row r="140" spans="1:10" x14ac:dyDescent="0.3">
      <c r="A140" s="11" t="s">
        <v>14</v>
      </c>
      <c r="B140" s="11" t="s">
        <v>14</v>
      </c>
      <c r="C140" s="12" t="s">
        <v>463</v>
      </c>
      <c r="D140" s="12" t="s">
        <v>464</v>
      </c>
      <c r="E140" s="13" t="s">
        <v>465</v>
      </c>
      <c r="F140" s="11"/>
      <c r="G140" s="14" t="s">
        <v>37</v>
      </c>
      <c r="H140" s="15"/>
      <c r="I140" s="15"/>
      <c r="J140" s="15"/>
    </row>
    <row r="141" spans="1:10" x14ac:dyDescent="0.3">
      <c r="A141" s="11" t="s">
        <v>14</v>
      </c>
      <c r="B141" s="11" t="s">
        <v>14</v>
      </c>
      <c r="C141" s="12" t="s">
        <v>466</v>
      </c>
      <c r="D141" s="12" t="s">
        <v>467</v>
      </c>
      <c r="E141" s="13" t="s">
        <v>468</v>
      </c>
      <c r="F141" s="11"/>
      <c r="G141" s="14" t="s">
        <v>37</v>
      </c>
      <c r="H141" s="15"/>
      <c r="I141" s="15"/>
      <c r="J141" s="15"/>
    </row>
    <row r="142" spans="1:10" ht="26.4" x14ac:dyDescent="0.3">
      <c r="A142" s="11" t="s">
        <v>14</v>
      </c>
      <c r="B142" s="11" t="s">
        <v>14</v>
      </c>
      <c r="C142" s="12" t="s">
        <v>469</v>
      </c>
      <c r="D142" s="12" t="s">
        <v>470</v>
      </c>
      <c r="E142" s="13" t="s">
        <v>471</v>
      </c>
      <c r="F142" s="11"/>
      <c r="G142" s="14" t="s">
        <v>37</v>
      </c>
      <c r="H142" s="15"/>
      <c r="I142" s="15"/>
      <c r="J142" s="15"/>
    </row>
    <row r="143" spans="1:10" ht="26.4" x14ac:dyDescent="0.3">
      <c r="A143" s="11" t="s">
        <v>14</v>
      </c>
      <c r="B143" s="11" t="s">
        <v>14</v>
      </c>
      <c r="C143" s="12" t="s">
        <v>472</v>
      </c>
      <c r="D143" s="12" t="s">
        <v>473</v>
      </c>
      <c r="E143" s="13" t="s">
        <v>474</v>
      </c>
      <c r="F143" s="11"/>
      <c r="G143" s="14" t="s">
        <v>37</v>
      </c>
      <c r="H143" s="15"/>
      <c r="I143" s="15"/>
      <c r="J143" s="15"/>
    </row>
    <row r="144" spans="1:10" x14ac:dyDescent="0.3">
      <c r="A144" s="11" t="s">
        <v>14</v>
      </c>
      <c r="B144" s="11" t="s">
        <v>14</v>
      </c>
      <c r="C144" s="12" t="s">
        <v>475</v>
      </c>
      <c r="D144" s="12" t="s">
        <v>476</v>
      </c>
      <c r="E144" s="13" t="s">
        <v>477</v>
      </c>
      <c r="F144" s="11"/>
      <c r="G144" s="14" t="s">
        <v>37</v>
      </c>
      <c r="H144" s="15"/>
      <c r="I144" s="15"/>
      <c r="J144" s="15"/>
    </row>
    <row r="145" spans="1:10" x14ac:dyDescent="0.3">
      <c r="A145" s="11" t="s">
        <v>14</v>
      </c>
      <c r="B145" s="11" t="s">
        <v>14</v>
      </c>
      <c r="C145" s="12" t="s">
        <v>478</v>
      </c>
      <c r="D145" s="12" t="s">
        <v>479</v>
      </c>
      <c r="E145" s="13" t="s">
        <v>480</v>
      </c>
      <c r="F145" s="11"/>
      <c r="G145" s="14" t="s">
        <v>37</v>
      </c>
      <c r="H145" s="15"/>
      <c r="I145" s="15"/>
      <c r="J145" s="15"/>
    </row>
    <row r="146" spans="1:10" x14ac:dyDescent="0.3">
      <c r="A146" s="11" t="s">
        <v>14</v>
      </c>
      <c r="B146" s="11" t="s">
        <v>14</v>
      </c>
      <c r="C146" s="12" t="s">
        <v>481</v>
      </c>
      <c r="D146" s="12" t="s">
        <v>482</v>
      </c>
      <c r="E146" s="13" t="s">
        <v>483</v>
      </c>
      <c r="F146" s="11"/>
      <c r="G146" s="14" t="s">
        <v>37</v>
      </c>
      <c r="H146" s="15"/>
      <c r="I146" s="15"/>
      <c r="J146" s="15"/>
    </row>
    <row r="147" spans="1:10" ht="26.4" x14ac:dyDescent="0.3">
      <c r="A147" s="11" t="s">
        <v>14</v>
      </c>
      <c r="B147" s="11" t="s">
        <v>14</v>
      </c>
      <c r="C147" s="12" t="s">
        <v>484</v>
      </c>
      <c r="D147" s="12" t="s">
        <v>485</v>
      </c>
      <c r="E147" s="13" t="s">
        <v>486</v>
      </c>
      <c r="F147" s="11"/>
      <c r="G147" s="14" t="s">
        <v>37</v>
      </c>
      <c r="H147" s="15"/>
      <c r="I147" s="15"/>
      <c r="J147" s="15"/>
    </row>
    <row r="148" spans="1:10" x14ac:dyDescent="0.3">
      <c r="A148" s="11" t="s">
        <v>14</v>
      </c>
      <c r="B148" s="11" t="s">
        <v>14</v>
      </c>
      <c r="C148" s="12" t="s">
        <v>487</v>
      </c>
      <c r="D148" s="12" t="s">
        <v>488</v>
      </c>
      <c r="E148" s="13" t="s">
        <v>489</v>
      </c>
      <c r="F148" s="11"/>
      <c r="G148" s="14" t="s">
        <v>37</v>
      </c>
      <c r="H148" s="15"/>
      <c r="I148" s="15"/>
      <c r="J148" s="15"/>
    </row>
    <row r="149" spans="1:10" x14ac:dyDescent="0.3">
      <c r="A149" s="11" t="s">
        <v>14</v>
      </c>
      <c r="B149" s="11" t="s">
        <v>14</v>
      </c>
      <c r="C149" s="12" t="s">
        <v>490</v>
      </c>
      <c r="D149" s="12" t="s">
        <v>491</v>
      </c>
      <c r="E149" s="13" t="s">
        <v>492</v>
      </c>
      <c r="F149" s="11"/>
      <c r="G149" s="14" t="s">
        <v>37</v>
      </c>
      <c r="H149" s="15"/>
      <c r="I149" s="15"/>
      <c r="J149" s="15"/>
    </row>
    <row r="150" spans="1:10" ht="26.4" x14ac:dyDescent="0.3">
      <c r="A150" s="11" t="s">
        <v>14</v>
      </c>
      <c r="B150" s="11" t="s">
        <v>14</v>
      </c>
      <c r="C150" s="12" t="s">
        <v>493</v>
      </c>
      <c r="D150" s="12" t="s">
        <v>494</v>
      </c>
      <c r="E150" s="13" t="s">
        <v>495</v>
      </c>
      <c r="F150" s="11"/>
      <c r="G150" s="14" t="s">
        <v>37</v>
      </c>
      <c r="H150" s="15"/>
      <c r="I150" s="15"/>
      <c r="J150" s="15"/>
    </row>
    <row r="151" spans="1:10" ht="26.4" x14ac:dyDescent="0.3">
      <c r="A151" s="11" t="s">
        <v>14</v>
      </c>
      <c r="B151" s="11" t="s">
        <v>14</v>
      </c>
      <c r="C151" s="12" t="s">
        <v>496</v>
      </c>
      <c r="D151" s="12" t="s">
        <v>497</v>
      </c>
      <c r="E151" s="13" t="s">
        <v>498</v>
      </c>
      <c r="F151" s="11"/>
      <c r="G151" s="14" t="s">
        <v>37</v>
      </c>
      <c r="H151" s="15"/>
      <c r="I151" s="15"/>
      <c r="J151" s="15"/>
    </row>
    <row r="152" spans="1:10" ht="26.4" x14ac:dyDescent="0.3">
      <c r="A152" s="11" t="s">
        <v>14</v>
      </c>
      <c r="B152" s="11" t="s">
        <v>14</v>
      </c>
      <c r="C152" s="12" t="s">
        <v>499</v>
      </c>
      <c r="D152" s="12" t="s">
        <v>500</v>
      </c>
      <c r="E152" s="13" t="s">
        <v>501</v>
      </c>
      <c r="F152" s="11"/>
      <c r="G152" s="14" t="s">
        <v>37</v>
      </c>
      <c r="H152" s="15"/>
      <c r="I152" s="15"/>
      <c r="J152" s="15"/>
    </row>
    <row r="153" spans="1:10" x14ac:dyDescent="0.3">
      <c r="A153" s="11" t="s">
        <v>14</v>
      </c>
      <c r="B153" s="11" t="s">
        <v>14</v>
      </c>
      <c r="C153" s="12" t="s">
        <v>502</v>
      </c>
      <c r="D153" s="12" t="s">
        <v>503</v>
      </c>
      <c r="E153" s="13" t="s">
        <v>504</v>
      </c>
      <c r="F153" s="11"/>
      <c r="G153" s="14" t="s">
        <v>37</v>
      </c>
      <c r="H153" s="15"/>
      <c r="I153" s="15"/>
      <c r="J153" s="15"/>
    </row>
    <row r="154" spans="1:10" x14ac:dyDescent="0.3">
      <c r="A154" s="11" t="s">
        <v>14</v>
      </c>
      <c r="B154" s="11" t="s">
        <v>14</v>
      </c>
      <c r="C154" s="12" t="s">
        <v>505</v>
      </c>
      <c r="D154" s="12" t="s">
        <v>506</v>
      </c>
      <c r="E154" s="13" t="s">
        <v>507</v>
      </c>
      <c r="F154" s="11"/>
      <c r="G154" s="14" t="s">
        <v>37</v>
      </c>
      <c r="H154" s="15"/>
      <c r="I154" s="15"/>
      <c r="J154" s="15"/>
    </row>
    <row r="155" spans="1:10" x14ac:dyDescent="0.3">
      <c r="A155" s="11" t="s">
        <v>14</v>
      </c>
      <c r="B155" s="11" t="s">
        <v>14</v>
      </c>
      <c r="C155" s="12" t="s">
        <v>508</v>
      </c>
      <c r="D155" s="12" t="s">
        <v>509</v>
      </c>
      <c r="E155" s="13" t="s">
        <v>510</v>
      </c>
      <c r="F155" s="11"/>
      <c r="G155" s="14" t="s">
        <v>37</v>
      </c>
      <c r="H155" s="15"/>
      <c r="I155" s="15"/>
      <c r="J155" s="15"/>
    </row>
    <row r="156" spans="1:10" x14ac:dyDescent="0.3">
      <c r="A156" s="11" t="s">
        <v>14</v>
      </c>
      <c r="B156" s="11" t="s">
        <v>14</v>
      </c>
      <c r="C156" s="12" t="s">
        <v>511</v>
      </c>
      <c r="D156" s="12" t="s">
        <v>512</v>
      </c>
      <c r="E156" s="13" t="s">
        <v>513</v>
      </c>
      <c r="F156" s="11"/>
      <c r="G156" s="14" t="s">
        <v>37</v>
      </c>
      <c r="H156" s="15"/>
      <c r="I156" s="15"/>
      <c r="J156" s="15"/>
    </row>
    <row r="157" spans="1:10" x14ac:dyDescent="0.3">
      <c r="A157" s="11" t="s">
        <v>14</v>
      </c>
      <c r="B157" s="11" t="s">
        <v>14</v>
      </c>
      <c r="C157" s="12" t="s">
        <v>514</v>
      </c>
      <c r="D157" s="12" t="s">
        <v>515</v>
      </c>
      <c r="E157" s="13" t="s">
        <v>516</v>
      </c>
      <c r="F157" s="11"/>
      <c r="G157" s="14" t="s">
        <v>37</v>
      </c>
      <c r="H157" s="15"/>
      <c r="I157" s="15"/>
      <c r="J157" s="15"/>
    </row>
    <row r="158" spans="1:10" ht="26.4" x14ac:dyDescent="0.3">
      <c r="A158" s="11" t="s">
        <v>14</v>
      </c>
      <c r="B158" s="11" t="s">
        <v>14</v>
      </c>
      <c r="C158" s="12" t="s">
        <v>517</v>
      </c>
      <c r="D158" s="12" t="s">
        <v>518</v>
      </c>
      <c r="E158" s="13" t="s">
        <v>519</v>
      </c>
      <c r="F158" s="11"/>
      <c r="G158" s="14" t="s">
        <v>37</v>
      </c>
      <c r="H158" s="15"/>
      <c r="I158" s="15"/>
      <c r="J158" s="15"/>
    </row>
    <row r="159" spans="1:10" x14ac:dyDescent="0.3">
      <c r="A159" s="11" t="s">
        <v>14</v>
      </c>
      <c r="B159" s="11" t="s">
        <v>14</v>
      </c>
      <c r="C159" s="12" t="s">
        <v>520</v>
      </c>
      <c r="D159" s="12" t="s">
        <v>521</v>
      </c>
      <c r="E159" s="13" t="s">
        <v>522</v>
      </c>
      <c r="F159" s="11"/>
      <c r="G159" s="14" t="s">
        <v>37</v>
      </c>
      <c r="H159" s="15"/>
      <c r="I159" s="15"/>
      <c r="J159" s="15"/>
    </row>
    <row r="160" spans="1:10" x14ac:dyDescent="0.3">
      <c r="A160" s="11" t="s">
        <v>14</v>
      </c>
      <c r="B160" s="11" t="s">
        <v>14</v>
      </c>
      <c r="C160" s="12" t="s">
        <v>523</v>
      </c>
      <c r="D160" s="12" t="s">
        <v>524</v>
      </c>
      <c r="E160" s="13" t="s">
        <v>525</v>
      </c>
      <c r="F160" s="11"/>
      <c r="G160" s="14" t="s">
        <v>37</v>
      </c>
      <c r="H160" s="15"/>
      <c r="I160" s="15"/>
      <c r="J160" s="15"/>
    </row>
    <row r="161" spans="1:10" x14ac:dyDescent="0.3">
      <c r="A161" s="11" t="s">
        <v>14</v>
      </c>
      <c r="B161" s="11" t="s">
        <v>14</v>
      </c>
      <c r="C161" s="12" t="s">
        <v>526</v>
      </c>
      <c r="D161" s="12" t="s">
        <v>527</v>
      </c>
      <c r="E161" s="13" t="s">
        <v>528</v>
      </c>
      <c r="F161" s="11"/>
      <c r="G161" s="14" t="s">
        <v>37</v>
      </c>
      <c r="H161" s="15"/>
      <c r="I161" s="15"/>
      <c r="J161" s="15"/>
    </row>
    <row r="162" spans="1:10" x14ac:dyDescent="0.3">
      <c r="A162" s="11" t="s">
        <v>14</v>
      </c>
      <c r="B162" s="11" t="s">
        <v>14</v>
      </c>
      <c r="C162" s="12" t="s">
        <v>529</v>
      </c>
      <c r="D162" s="12" t="s">
        <v>530</v>
      </c>
      <c r="E162" s="13" t="s">
        <v>531</v>
      </c>
      <c r="F162" s="11"/>
      <c r="G162" s="14" t="s">
        <v>37</v>
      </c>
      <c r="H162" s="15"/>
      <c r="I162" s="15"/>
      <c r="J162" s="15"/>
    </row>
    <row r="163" spans="1:10" x14ac:dyDescent="0.3">
      <c r="A163" s="11" t="s">
        <v>14</v>
      </c>
      <c r="B163" s="11" t="s">
        <v>14</v>
      </c>
      <c r="C163" s="12" t="s">
        <v>532</v>
      </c>
      <c r="D163" s="12" t="s">
        <v>533</v>
      </c>
      <c r="E163" s="13" t="s">
        <v>534</v>
      </c>
      <c r="F163" s="11"/>
      <c r="G163" s="14" t="s">
        <v>37</v>
      </c>
      <c r="H163" s="15"/>
      <c r="I163" s="15"/>
      <c r="J163" s="15"/>
    </row>
    <row r="164" spans="1:10" ht="26.4" x14ac:dyDescent="0.3">
      <c r="A164" s="11" t="s">
        <v>14</v>
      </c>
      <c r="B164" s="11" t="s">
        <v>14</v>
      </c>
      <c r="C164" s="12" t="s">
        <v>535</v>
      </c>
      <c r="D164" s="12" t="s">
        <v>536</v>
      </c>
      <c r="E164" s="13" t="s">
        <v>537</v>
      </c>
      <c r="F164" s="11" t="s">
        <v>538</v>
      </c>
      <c r="G164" s="14" t="s">
        <v>37</v>
      </c>
      <c r="H164" s="15"/>
      <c r="I164" s="15"/>
      <c r="J164" s="15"/>
    </row>
    <row r="165" spans="1:10" ht="26.4" x14ac:dyDescent="0.3">
      <c r="A165" s="11" t="s">
        <v>14</v>
      </c>
      <c r="B165" s="11" t="s">
        <v>14</v>
      </c>
      <c r="C165" s="12" t="s">
        <v>535</v>
      </c>
      <c r="D165" s="12" t="s">
        <v>539</v>
      </c>
      <c r="E165" s="13" t="s">
        <v>540</v>
      </c>
      <c r="F165" s="11"/>
      <c r="G165" s="14" t="s">
        <v>37</v>
      </c>
      <c r="H165" s="15"/>
      <c r="I165" s="15"/>
      <c r="J165" s="15"/>
    </row>
    <row r="166" spans="1:10" x14ac:dyDescent="0.3">
      <c r="A166" s="11" t="s">
        <v>14</v>
      </c>
      <c r="B166" s="11" t="s">
        <v>14</v>
      </c>
      <c r="C166" s="12" t="s">
        <v>541</v>
      </c>
      <c r="D166" s="12" t="s">
        <v>542</v>
      </c>
      <c r="E166" s="13" t="s">
        <v>543</v>
      </c>
      <c r="F166" s="11"/>
      <c r="G166" s="14" t="s">
        <v>37</v>
      </c>
      <c r="H166" s="15"/>
      <c r="I166" s="15"/>
      <c r="J166" s="15"/>
    </row>
    <row r="167" spans="1:10" x14ac:dyDescent="0.3">
      <c r="A167" s="11" t="s">
        <v>14</v>
      </c>
      <c r="B167" s="11" t="s">
        <v>14</v>
      </c>
      <c r="C167" s="12" t="s">
        <v>544</v>
      </c>
      <c r="D167" s="12" t="s">
        <v>545</v>
      </c>
      <c r="E167" s="13" t="s">
        <v>546</v>
      </c>
      <c r="F167" s="11"/>
      <c r="G167" s="14" t="s">
        <v>37</v>
      </c>
      <c r="H167" s="15"/>
      <c r="I167" s="15"/>
      <c r="J167" s="15"/>
    </row>
    <row r="168" spans="1:10" ht="26.4" x14ac:dyDescent="0.3">
      <c r="A168" s="11" t="s">
        <v>14</v>
      </c>
      <c r="B168" s="11" t="s">
        <v>14</v>
      </c>
      <c r="C168" s="12" t="s">
        <v>547</v>
      </c>
      <c r="D168" s="12" t="s">
        <v>548</v>
      </c>
      <c r="E168" s="13" t="s">
        <v>549</v>
      </c>
      <c r="F168" s="11"/>
      <c r="G168" s="14" t="s">
        <v>37</v>
      </c>
      <c r="H168" s="15"/>
      <c r="I168" s="15"/>
      <c r="J168" s="15"/>
    </row>
    <row r="169" spans="1:10" x14ac:dyDescent="0.3">
      <c r="A169" s="11" t="s">
        <v>14</v>
      </c>
      <c r="B169" s="11" t="s">
        <v>14</v>
      </c>
      <c r="C169" s="12" t="s">
        <v>550</v>
      </c>
      <c r="D169" s="12" t="s">
        <v>551</v>
      </c>
      <c r="E169" s="13" t="s">
        <v>552</v>
      </c>
      <c r="F169" s="11"/>
      <c r="G169" s="14" t="s">
        <v>37</v>
      </c>
      <c r="H169" s="15"/>
      <c r="I169" s="15"/>
      <c r="J169" s="15"/>
    </row>
    <row r="170" spans="1:10" ht="26.4" x14ac:dyDescent="0.3">
      <c r="A170" s="11" t="s">
        <v>14</v>
      </c>
      <c r="B170" s="11" t="s">
        <v>14</v>
      </c>
      <c r="C170" s="12" t="s">
        <v>553</v>
      </c>
      <c r="D170" s="12" t="s">
        <v>554</v>
      </c>
      <c r="E170" s="13" t="s">
        <v>555</v>
      </c>
      <c r="F170" s="11"/>
      <c r="G170" s="14" t="s">
        <v>37</v>
      </c>
      <c r="H170" s="15"/>
      <c r="I170" s="15"/>
      <c r="J170" s="15"/>
    </row>
    <row r="171" spans="1:10" x14ac:dyDescent="0.3">
      <c r="A171" s="11" t="s">
        <v>14</v>
      </c>
      <c r="B171" s="11" t="s">
        <v>14</v>
      </c>
      <c r="C171" s="12" t="s">
        <v>556</v>
      </c>
      <c r="D171" s="12" t="s">
        <v>557</v>
      </c>
      <c r="E171" s="13" t="s">
        <v>558</v>
      </c>
      <c r="F171" s="11"/>
      <c r="G171" s="14" t="s">
        <v>37</v>
      </c>
      <c r="H171" s="15"/>
      <c r="I171" s="15"/>
      <c r="J171" s="15"/>
    </row>
    <row r="172" spans="1:10" x14ac:dyDescent="0.3">
      <c r="A172" s="11" t="s">
        <v>14</v>
      </c>
      <c r="B172" s="11" t="s">
        <v>14</v>
      </c>
      <c r="C172" s="12" t="s">
        <v>559</v>
      </c>
      <c r="D172" s="12" t="s">
        <v>560</v>
      </c>
      <c r="E172" s="13" t="s">
        <v>561</v>
      </c>
      <c r="F172" s="11"/>
      <c r="G172" s="14" t="s">
        <v>37</v>
      </c>
      <c r="H172" s="15"/>
      <c r="I172" s="15"/>
      <c r="J172" s="15"/>
    </row>
    <row r="173" spans="1:10" x14ac:dyDescent="0.3">
      <c r="A173" s="11" t="s">
        <v>14</v>
      </c>
      <c r="B173" s="11" t="s">
        <v>14</v>
      </c>
      <c r="C173" s="12" t="s">
        <v>562</v>
      </c>
      <c r="D173" s="12" t="s">
        <v>548</v>
      </c>
      <c r="E173" s="13" t="s">
        <v>563</v>
      </c>
      <c r="F173" s="11"/>
      <c r="G173" s="14" t="s">
        <v>37</v>
      </c>
      <c r="H173" s="15"/>
      <c r="I173" s="15"/>
      <c r="J173" s="15"/>
    </row>
    <row r="174" spans="1:10" ht="26.4" x14ac:dyDescent="0.3">
      <c r="A174" s="11" t="s">
        <v>14</v>
      </c>
      <c r="B174" s="11" t="s">
        <v>14</v>
      </c>
      <c r="C174" s="12" t="s">
        <v>564</v>
      </c>
      <c r="D174" s="12" t="s">
        <v>565</v>
      </c>
      <c r="E174" s="13" t="s">
        <v>566</v>
      </c>
      <c r="F174" s="11"/>
      <c r="G174" s="14" t="s">
        <v>37</v>
      </c>
      <c r="H174" s="15"/>
      <c r="I174" s="15"/>
      <c r="J174" s="15"/>
    </row>
    <row r="175" spans="1:10" x14ac:dyDescent="0.3">
      <c r="A175" s="11" t="s">
        <v>14</v>
      </c>
      <c r="B175" s="11" t="s">
        <v>14</v>
      </c>
      <c r="C175" s="12" t="s">
        <v>567</v>
      </c>
      <c r="D175" s="12" t="s">
        <v>568</v>
      </c>
      <c r="E175" s="13" t="s">
        <v>569</v>
      </c>
      <c r="F175" s="11"/>
      <c r="G175" s="14" t="s">
        <v>37</v>
      </c>
      <c r="H175" s="15"/>
      <c r="I175" s="15"/>
      <c r="J175" s="15"/>
    </row>
    <row r="176" spans="1:10" x14ac:dyDescent="0.3">
      <c r="A176" s="11" t="s">
        <v>14</v>
      </c>
      <c r="B176" s="11" t="s">
        <v>14</v>
      </c>
      <c r="C176" s="12" t="s">
        <v>570</v>
      </c>
      <c r="D176" s="12" t="s">
        <v>571</v>
      </c>
      <c r="E176" s="13" t="s">
        <v>572</v>
      </c>
      <c r="F176" s="11"/>
      <c r="G176" s="14" t="s">
        <v>37</v>
      </c>
      <c r="H176" s="15"/>
      <c r="I176" s="15"/>
      <c r="J176" s="15"/>
    </row>
    <row r="177" spans="1:10" x14ac:dyDescent="0.3">
      <c r="A177" s="11" t="s">
        <v>14</v>
      </c>
      <c r="B177" s="11" t="s">
        <v>14</v>
      </c>
      <c r="C177" s="12" t="s">
        <v>573</v>
      </c>
      <c r="D177" s="12" t="s">
        <v>574</v>
      </c>
      <c r="E177" s="13" t="s">
        <v>575</v>
      </c>
      <c r="F177" s="11" t="s">
        <v>576</v>
      </c>
      <c r="G177" s="14" t="s">
        <v>37</v>
      </c>
      <c r="H177" s="15"/>
      <c r="I177" s="15"/>
      <c r="J177" s="15"/>
    </row>
    <row r="178" spans="1:10" ht="26.4" x14ac:dyDescent="0.3">
      <c r="A178" s="11" t="s">
        <v>14</v>
      </c>
      <c r="B178" s="11" t="s">
        <v>14</v>
      </c>
      <c r="C178" s="12" t="s">
        <v>577</v>
      </c>
      <c r="D178" s="12" t="s">
        <v>578</v>
      </c>
      <c r="E178" s="13" t="s">
        <v>579</v>
      </c>
      <c r="F178" s="11"/>
      <c r="G178" s="14" t="s">
        <v>37</v>
      </c>
      <c r="H178" s="15"/>
      <c r="I178" s="15"/>
      <c r="J178" s="15"/>
    </row>
    <row r="179" spans="1:10" x14ac:dyDescent="0.3">
      <c r="A179" s="11" t="s">
        <v>14</v>
      </c>
      <c r="B179" s="11" t="s">
        <v>14</v>
      </c>
      <c r="C179" s="12" t="s">
        <v>580</v>
      </c>
      <c r="D179" s="12" t="s">
        <v>581</v>
      </c>
      <c r="E179" s="13" t="s">
        <v>582</v>
      </c>
      <c r="F179" s="11"/>
      <c r="G179" s="14" t="s">
        <v>37</v>
      </c>
      <c r="H179" s="15"/>
      <c r="I179" s="15"/>
      <c r="J179" s="15"/>
    </row>
    <row r="180" spans="1:10" x14ac:dyDescent="0.3">
      <c r="A180" s="11" t="s">
        <v>14</v>
      </c>
      <c r="B180" s="11" t="s">
        <v>14</v>
      </c>
      <c r="C180" s="12" t="s">
        <v>262</v>
      </c>
      <c r="D180" s="12" t="s">
        <v>583</v>
      </c>
      <c r="E180" s="13" t="s">
        <v>584</v>
      </c>
      <c r="F180" s="11"/>
      <c r="G180" s="14" t="s">
        <v>37</v>
      </c>
      <c r="H180" s="15"/>
      <c r="I180" s="15"/>
      <c r="J180" s="15"/>
    </row>
    <row r="181" spans="1:10" x14ac:dyDescent="0.3">
      <c r="A181" s="11" t="s">
        <v>14</v>
      </c>
      <c r="B181" s="11" t="s">
        <v>14</v>
      </c>
      <c r="C181" s="12" t="s">
        <v>585</v>
      </c>
      <c r="D181" s="12" t="s">
        <v>586</v>
      </c>
      <c r="E181" s="13" t="s">
        <v>587</v>
      </c>
      <c r="F181" s="11" t="s">
        <v>588</v>
      </c>
      <c r="G181" s="14" t="s">
        <v>37</v>
      </c>
      <c r="H181" s="15"/>
      <c r="I181" s="15"/>
      <c r="J181" s="15"/>
    </row>
    <row r="182" spans="1:10" ht="26.4" x14ac:dyDescent="0.3">
      <c r="A182" s="11" t="s">
        <v>14</v>
      </c>
      <c r="B182" s="11" t="s">
        <v>14</v>
      </c>
      <c r="C182" s="12" t="s">
        <v>585</v>
      </c>
      <c r="D182" s="12" t="s">
        <v>589</v>
      </c>
      <c r="E182" s="13" t="s">
        <v>590</v>
      </c>
      <c r="F182" s="11" t="s">
        <v>588</v>
      </c>
      <c r="G182" s="14" t="s">
        <v>37</v>
      </c>
      <c r="H182" s="15"/>
      <c r="I182" s="15"/>
      <c r="J182" s="15"/>
    </row>
    <row r="183" spans="1:10" x14ac:dyDescent="0.3">
      <c r="A183" s="11" t="s">
        <v>14</v>
      </c>
      <c r="B183" s="11" t="s">
        <v>14</v>
      </c>
      <c r="C183" s="12" t="s">
        <v>591</v>
      </c>
      <c r="D183" s="12" t="s">
        <v>592</v>
      </c>
      <c r="E183" s="13" t="s">
        <v>593</v>
      </c>
      <c r="F183" s="11"/>
      <c r="G183" s="14" t="s">
        <v>37</v>
      </c>
      <c r="H183" s="15"/>
      <c r="I183" s="15"/>
      <c r="J183" s="15"/>
    </row>
    <row r="184" spans="1:10" x14ac:dyDescent="0.3">
      <c r="A184" s="11" t="s">
        <v>14</v>
      </c>
      <c r="B184" s="11" t="s">
        <v>14</v>
      </c>
      <c r="C184" s="12" t="s">
        <v>594</v>
      </c>
      <c r="D184" s="12" t="s">
        <v>595</v>
      </c>
      <c r="E184" s="13" t="s">
        <v>596</v>
      </c>
      <c r="F184" s="11"/>
      <c r="G184" s="14" t="s">
        <v>37</v>
      </c>
      <c r="H184" s="15"/>
      <c r="I184" s="15"/>
      <c r="J184" s="15"/>
    </row>
    <row r="185" spans="1:10" x14ac:dyDescent="0.3">
      <c r="A185" s="11" t="s">
        <v>14</v>
      </c>
      <c r="B185" s="11" t="s">
        <v>14</v>
      </c>
      <c r="C185" s="12" t="s">
        <v>597</v>
      </c>
      <c r="D185" s="12" t="s">
        <v>598</v>
      </c>
      <c r="E185" s="13" t="s">
        <v>599</v>
      </c>
      <c r="F185" s="11"/>
      <c r="G185" s="14" t="s">
        <v>37</v>
      </c>
      <c r="H185" s="15"/>
      <c r="I185" s="15"/>
      <c r="J185" s="15"/>
    </row>
    <row r="186" spans="1:10" ht="26.4" x14ac:dyDescent="0.3">
      <c r="A186" s="11" t="s">
        <v>14</v>
      </c>
      <c r="B186" s="11" t="s">
        <v>14</v>
      </c>
      <c r="C186" s="12" t="s">
        <v>600</v>
      </c>
      <c r="D186" s="12" t="s">
        <v>601</v>
      </c>
      <c r="E186" s="13" t="s">
        <v>602</v>
      </c>
      <c r="F186" s="11" t="s">
        <v>603</v>
      </c>
      <c r="G186" s="14" t="s">
        <v>37</v>
      </c>
      <c r="H186" s="15"/>
      <c r="I186" s="15"/>
      <c r="J186" s="15"/>
    </row>
    <row r="187" spans="1:10" ht="26.4" x14ac:dyDescent="0.3">
      <c r="A187" s="11" t="s">
        <v>14</v>
      </c>
      <c r="B187" s="11" t="s">
        <v>14</v>
      </c>
      <c r="C187" s="12" t="s">
        <v>604</v>
      </c>
      <c r="D187" s="12" t="s">
        <v>605</v>
      </c>
      <c r="E187" s="13" t="s">
        <v>606</v>
      </c>
      <c r="F187" s="11"/>
      <c r="G187" s="14" t="s">
        <v>37</v>
      </c>
      <c r="H187" s="15"/>
      <c r="I187" s="15"/>
      <c r="J187" s="15"/>
    </row>
    <row r="188" spans="1:10" ht="26.4" x14ac:dyDescent="0.3">
      <c r="A188" s="11" t="s">
        <v>15</v>
      </c>
      <c r="B188" s="11" t="s">
        <v>15</v>
      </c>
      <c r="C188" s="12" t="s">
        <v>607</v>
      </c>
      <c r="D188" s="12" t="s">
        <v>608</v>
      </c>
      <c r="E188" s="13" t="s">
        <v>609</v>
      </c>
      <c r="F188" s="11"/>
      <c r="G188" s="14" t="s">
        <v>37</v>
      </c>
      <c r="H188" s="15"/>
      <c r="I188" s="15"/>
      <c r="J188" s="15"/>
    </row>
    <row r="189" spans="1:10" ht="26.4" x14ac:dyDescent="0.3">
      <c r="A189" s="11" t="s">
        <v>15</v>
      </c>
      <c r="B189" s="11" t="s">
        <v>15</v>
      </c>
      <c r="C189" s="12" t="s">
        <v>610</v>
      </c>
      <c r="D189" s="12" t="s">
        <v>611</v>
      </c>
      <c r="E189" s="13" t="s">
        <v>612</v>
      </c>
      <c r="F189" s="11"/>
      <c r="G189" s="14" t="s">
        <v>37</v>
      </c>
      <c r="H189" s="15"/>
      <c r="I189" s="15"/>
      <c r="J189" s="15"/>
    </row>
    <row r="190" spans="1:10" x14ac:dyDescent="0.3">
      <c r="A190" s="11" t="s">
        <v>15</v>
      </c>
      <c r="B190" s="11" t="s">
        <v>15</v>
      </c>
      <c r="C190" s="12" t="s">
        <v>613</v>
      </c>
      <c r="D190" s="12" t="s">
        <v>614</v>
      </c>
      <c r="E190" s="13" t="s">
        <v>615</v>
      </c>
      <c r="F190" s="11"/>
      <c r="G190" s="14" t="s">
        <v>37</v>
      </c>
      <c r="H190" s="15"/>
      <c r="I190" s="15"/>
      <c r="J190" s="15"/>
    </row>
    <row r="191" spans="1:10" x14ac:dyDescent="0.3">
      <c r="A191" s="11" t="s">
        <v>16</v>
      </c>
      <c r="B191" s="11" t="s">
        <v>616</v>
      </c>
      <c r="C191" s="12" t="s">
        <v>617</v>
      </c>
      <c r="D191" s="12" t="s">
        <v>618</v>
      </c>
      <c r="E191" s="13" t="s">
        <v>619</v>
      </c>
      <c r="F191" s="11"/>
      <c r="G191" s="14" t="s">
        <v>37</v>
      </c>
      <c r="H191" s="15"/>
      <c r="I191" s="15"/>
      <c r="J191" s="15"/>
    </row>
    <row r="192" spans="1:10" x14ac:dyDescent="0.3">
      <c r="A192" s="11" t="s">
        <v>16</v>
      </c>
      <c r="B192" s="11" t="s">
        <v>616</v>
      </c>
      <c r="C192" s="12" t="s">
        <v>620</v>
      </c>
      <c r="D192" s="12" t="s">
        <v>621</v>
      </c>
      <c r="E192" s="13" t="s">
        <v>622</v>
      </c>
      <c r="F192" s="11"/>
      <c r="G192" s="14" t="s">
        <v>37</v>
      </c>
      <c r="H192" s="15"/>
      <c r="I192" s="15"/>
      <c r="J192" s="15"/>
    </row>
    <row r="193" spans="1:10" x14ac:dyDescent="0.3">
      <c r="A193" s="11" t="s">
        <v>16</v>
      </c>
      <c r="B193" s="11" t="s">
        <v>616</v>
      </c>
      <c r="C193" s="12" t="s">
        <v>623</v>
      </c>
      <c r="D193" s="12" t="s">
        <v>624</v>
      </c>
      <c r="E193" s="13" t="s">
        <v>625</v>
      </c>
      <c r="F193" s="11"/>
      <c r="G193" s="14" t="s">
        <v>37</v>
      </c>
      <c r="H193" s="15"/>
      <c r="I193" s="15"/>
      <c r="J193" s="15"/>
    </row>
    <row r="194" spans="1:10" x14ac:dyDescent="0.3">
      <c r="A194" s="11" t="s">
        <v>16</v>
      </c>
      <c r="B194" s="11" t="s">
        <v>626</v>
      </c>
      <c r="C194" s="12" t="s">
        <v>627</v>
      </c>
      <c r="D194" s="12" t="s">
        <v>628</v>
      </c>
      <c r="E194" s="13" t="s">
        <v>629</v>
      </c>
      <c r="F194" s="11"/>
      <c r="G194" s="14" t="s">
        <v>37</v>
      </c>
      <c r="H194" s="15"/>
      <c r="I194" s="15"/>
      <c r="J194" s="15"/>
    </row>
    <row r="195" spans="1:10" x14ac:dyDescent="0.3">
      <c r="A195" s="11" t="s">
        <v>16</v>
      </c>
      <c r="B195" s="11" t="s">
        <v>630</v>
      </c>
      <c r="C195" s="12" t="s">
        <v>631</v>
      </c>
      <c r="D195" s="12" t="s">
        <v>632</v>
      </c>
      <c r="E195" s="13" t="s">
        <v>633</v>
      </c>
      <c r="F195" s="11"/>
      <c r="G195" s="14" t="s">
        <v>37</v>
      </c>
      <c r="H195" s="15"/>
      <c r="I195" s="15"/>
      <c r="J195" s="15"/>
    </row>
    <row r="196" spans="1:10" x14ac:dyDescent="0.3">
      <c r="A196" s="11" t="s">
        <v>16</v>
      </c>
      <c r="B196" s="11" t="s">
        <v>634</v>
      </c>
      <c r="C196" s="12" t="s">
        <v>635</v>
      </c>
      <c r="D196" s="12" t="s">
        <v>636</v>
      </c>
      <c r="E196" s="13" t="s">
        <v>637</v>
      </c>
      <c r="F196" s="11"/>
      <c r="G196" s="14" t="s">
        <v>37</v>
      </c>
      <c r="H196" s="15"/>
      <c r="I196" s="15"/>
      <c r="J196" s="15"/>
    </row>
    <row r="197" spans="1:10" x14ac:dyDescent="0.3">
      <c r="A197" s="11" t="s">
        <v>16</v>
      </c>
      <c r="B197" s="11" t="s">
        <v>634</v>
      </c>
      <c r="C197" s="12" t="s">
        <v>638</v>
      </c>
      <c r="D197" s="12" t="s">
        <v>639</v>
      </c>
      <c r="E197" s="13" t="s">
        <v>640</v>
      </c>
      <c r="F197" s="11"/>
      <c r="G197" s="14" t="s">
        <v>37</v>
      </c>
      <c r="H197" s="15"/>
      <c r="I197" s="15"/>
      <c r="J197" s="15"/>
    </row>
    <row r="198" spans="1:10" x14ac:dyDescent="0.3">
      <c r="A198" s="11" t="s">
        <v>16</v>
      </c>
      <c r="B198" s="11" t="s">
        <v>634</v>
      </c>
      <c r="C198" s="12" t="s">
        <v>641</v>
      </c>
      <c r="D198" s="12" t="s">
        <v>642</v>
      </c>
      <c r="E198" s="13" t="s">
        <v>643</v>
      </c>
      <c r="F198" s="11"/>
      <c r="G198" s="14" t="s">
        <v>37</v>
      </c>
      <c r="H198" s="15"/>
      <c r="I198" s="15"/>
      <c r="J198" s="15"/>
    </row>
    <row r="199" spans="1:10" x14ac:dyDescent="0.3">
      <c r="A199" s="11" t="s">
        <v>16</v>
      </c>
      <c r="B199" s="11" t="s">
        <v>644</v>
      </c>
      <c r="C199" s="12" t="s">
        <v>645</v>
      </c>
      <c r="D199" s="12" t="s">
        <v>646</v>
      </c>
      <c r="E199" s="13" t="s">
        <v>647</v>
      </c>
      <c r="F199" s="11"/>
      <c r="G199" s="14" t="s">
        <v>37</v>
      </c>
      <c r="H199" s="15"/>
      <c r="I199" s="15"/>
      <c r="J199" s="15"/>
    </row>
    <row r="200" spans="1:10" x14ac:dyDescent="0.3">
      <c r="A200" s="11" t="s">
        <v>16</v>
      </c>
      <c r="B200" s="11" t="s">
        <v>644</v>
      </c>
      <c r="C200" s="12" t="s">
        <v>178</v>
      </c>
      <c r="D200" s="12" t="s">
        <v>648</v>
      </c>
      <c r="E200" s="13" t="s">
        <v>649</v>
      </c>
      <c r="F200" s="11"/>
      <c r="G200" s="14" t="s">
        <v>37</v>
      </c>
      <c r="H200" s="15"/>
      <c r="I200" s="15"/>
      <c r="J200" s="15"/>
    </row>
    <row r="201" spans="1:10" x14ac:dyDescent="0.3">
      <c r="A201" s="11" t="s">
        <v>16</v>
      </c>
      <c r="B201" s="11" t="s">
        <v>650</v>
      </c>
      <c r="C201" s="12" t="s">
        <v>651</v>
      </c>
      <c r="D201" s="12" t="s">
        <v>652</v>
      </c>
      <c r="E201" s="13" t="s">
        <v>653</v>
      </c>
      <c r="F201" s="11"/>
      <c r="G201" s="14" t="s">
        <v>37</v>
      </c>
      <c r="H201" s="15"/>
      <c r="I201" s="15"/>
      <c r="J201" s="15"/>
    </row>
    <row r="202" spans="1:10" x14ac:dyDescent="0.3">
      <c r="A202" s="11" t="s">
        <v>16</v>
      </c>
      <c r="B202" s="11" t="s">
        <v>650</v>
      </c>
      <c r="C202" s="12" t="s">
        <v>654</v>
      </c>
      <c r="D202" s="12" t="s">
        <v>655</v>
      </c>
      <c r="E202" s="13" t="s">
        <v>656</v>
      </c>
      <c r="F202" s="11"/>
      <c r="G202" s="14" t="s">
        <v>37</v>
      </c>
      <c r="H202" s="15"/>
      <c r="I202" s="15"/>
      <c r="J202" s="15"/>
    </row>
    <row r="203" spans="1:10" x14ac:dyDescent="0.3">
      <c r="A203" s="11" t="s">
        <v>16</v>
      </c>
      <c r="B203" s="11" t="s">
        <v>657</v>
      </c>
      <c r="C203" s="12" t="s">
        <v>658</v>
      </c>
      <c r="D203" s="12" t="s">
        <v>659</v>
      </c>
      <c r="E203" s="13" t="s">
        <v>660</v>
      </c>
      <c r="F203" s="11"/>
      <c r="G203" s="14" t="s">
        <v>37</v>
      </c>
      <c r="H203" s="15"/>
      <c r="I203" s="15"/>
      <c r="J203" s="15"/>
    </row>
    <row r="204" spans="1:10" ht="26.4" x14ac:dyDescent="0.3">
      <c r="A204" s="11" t="s">
        <v>16</v>
      </c>
      <c r="B204" s="11" t="s">
        <v>661</v>
      </c>
      <c r="C204" s="12" t="s">
        <v>25</v>
      </c>
      <c r="D204" s="12" t="s">
        <v>662</v>
      </c>
      <c r="E204" s="13" t="s">
        <v>663</v>
      </c>
      <c r="F204" s="11"/>
      <c r="G204" s="14" t="s">
        <v>37</v>
      </c>
      <c r="H204" s="15"/>
      <c r="I204" s="15"/>
      <c r="J204" s="15"/>
    </row>
    <row r="205" spans="1:10" x14ac:dyDescent="0.3">
      <c r="A205" s="11" t="s">
        <v>16</v>
      </c>
      <c r="B205" s="11" t="s">
        <v>661</v>
      </c>
      <c r="C205" s="12" t="s">
        <v>664</v>
      </c>
      <c r="D205" s="12" t="s">
        <v>665</v>
      </c>
      <c r="E205" s="13" t="s">
        <v>666</v>
      </c>
      <c r="F205" s="11"/>
      <c r="G205" s="14" t="s">
        <v>37</v>
      </c>
      <c r="H205" s="15"/>
      <c r="I205" s="15"/>
      <c r="J205" s="15"/>
    </row>
    <row r="206" spans="1:10" x14ac:dyDescent="0.3">
      <c r="A206" s="11" t="s">
        <v>16</v>
      </c>
      <c r="B206" s="11" t="s">
        <v>667</v>
      </c>
      <c r="C206" s="12" t="s">
        <v>668</v>
      </c>
      <c r="D206" s="12" t="s">
        <v>669</v>
      </c>
      <c r="E206" s="13" t="s">
        <v>670</v>
      </c>
      <c r="F206" s="11"/>
      <c r="G206" s="14" t="s">
        <v>37</v>
      </c>
      <c r="H206" s="15"/>
      <c r="I206" s="15"/>
      <c r="J206" s="15"/>
    </row>
    <row r="207" spans="1:10" ht="26.4" x14ac:dyDescent="0.3">
      <c r="A207" s="11" t="s">
        <v>16</v>
      </c>
      <c r="B207" s="11" t="s">
        <v>667</v>
      </c>
      <c r="C207" s="12" t="s">
        <v>671</v>
      </c>
      <c r="D207" s="12" t="s">
        <v>672</v>
      </c>
      <c r="E207" s="13" t="s">
        <v>673</v>
      </c>
      <c r="F207" s="11"/>
      <c r="G207" s="14" t="s">
        <v>37</v>
      </c>
      <c r="H207" s="15"/>
      <c r="I207" s="15"/>
      <c r="J207" s="15"/>
    </row>
    <row r="208" spans="1:10" x14ac:dyDescent="0.3">
      <c r="A208" s="11" t="s">
        <v>16</v>
      </c>
      <c r="B208" s="11" t="s">
        <v>667</v>
      </c>
      <c r="C208" s="12" t="s">
        <v>674</v>
      </c>
      <c r="D208" s="12" t="s">
        <v>675</v>
      </c>
      <c r="E208" s="13" t="s">
        <v>676</v>
      </c>
      <c r="F208" s="11"/>
      <c r="G208" s="14" t="s">
        <v>37</v>
      </c>
      <c r="H208" s="15"/>
      <c r="I208" s="15"/>
      <c r="J208" s="15"/>
    </row>
    <row r="209" spans="1:10" x14ac:dyDescent="0.3">
      <c r="A209" s="11" t="s">
        <v>16</v>
      </c>
      <c r="B209" s="11" t="s">
        <v>667</v>
      </c>
      <c r="C209" s="12" t="s">
        <v>677</v>
      </c>
      <c r="D209" s="12" t="s">
        <v>678</v>
      </c>
      <c r="E209" s="13" t="s">
        <v>679</v>
      </c>
      <c r="F209" s="11"/>
      <c r="G209" s="14" t="s">
        <v>37</v>
      </c>
      <c r="H209" s="15"/>
      <c r="I209" s="15"/>
      <c r="J209" s="15"/>
    </row>
    <row r="210" spans="1:10" x14ac:dyDescent="0.3">
      <c r="A210" s="11" t="s">
        <v>16</v>
      </c>
      <c r="B210" s="11" t="s">
        <v>680</v>
      </c>
      <c r="C210" s="12" t="s">
        <v>681</v>
      </c>
      <c r="D210" s="12" t="s">
        <v>682</v>
      </c>
      <c r="E210" s="13" t="s">
        <v>683</v>
      </c>
      <c r="F210" s="11"/>
      <c r="G210" s="14" t="s">
        <v>37</v>
      </c>
      <c r="H210" s="15"/>
      <c r="I210" s="15"/>
      <c r="J210" s="15"/>
    </row>
    <row r="211" spans="1:10" ht="26.4" x14ac:dyDescent="0.3">
      <c r="A211" s="11" t="s">
        <v>16</v>
      </c>
      <c r="B211" s="11" t="s">
        <v>680</v>
      </c>
      <c r="C211" s="12" t="s">
        <v>178</v>
      </c>
      <c r="D211" s="12" t="s">
        <v>684</v>
      </c>
      <c r="E211" s="13" t="s">
        <v>685</v>
      </c>
      <c r="F211" s="11"/>
      <c r="G211" s="14" t="s">
        <v>37</v>
      </c>
      <c r="H211" s="15"/>
      <c r="I211" s="15"/>
      <c r="J211" s="15"/>
    </row>
    <row r="212" spans="1:10" x14ac:dyDescent="0.3">
      <c r="A212" s="11" t="s">
        <v>16</v>
      </c>
      <c r="B212" s="11" t="s">
        <v>686</v>
      </c>
      <c r="C212" s="12" t="s">
        <v>687</v>
      </c>
      <c r="D212" s="12" t="s">
        <v>688</v>
      </c>
      <c r="E212" s="13" t="s">
        <v>689</v>
      </c>
      <c r="F212" s="11"/>
      <c r="G212" s="14" t="s">
        <v>37</v>
      </c>
      <c r="H212" s="15"/>
      <c r="I212" s="15"/>
      <c r="J212" s="15"/>
    </row>
    <row r="213" spans="1:10" x14ac:dyDescent="0.3">
      <c r="A213" s="11" t="s">
        <v>16</v>
      </c>
      <c r="B213" s="11" t="s">
        <v>690</v>
      </c>
      <c r="C213" s="12" t="s">
        <v>691</v>
      </c>
      <c r="D213" s="12" t="s">
        <v>692</v>
      </c>
      <c r="E213" s="13" t="s">
        <v>693</v>
      </c>
      <c r="F213" s="11"/>
      <c r="G213" s="14" t="s">
        <v>37</v>
      </c>
      <c r="H213" s="15"/>
      <c r="I213" s="15"/>
      <c r="J213" s="15"/>
    </row>
    <row r="214" spans="1:10" x14ac:dyDescent="0.3">
      <c r="A214" s="11" t="s">
        <v>16</v>
      </c>
      <c r="B214" s="11" t="s">
        <v>690</v>
      </c>
      <c r="C214" s="12" t="s">
        <v>694</v>
      </c>
      <c r="D214" s="12" t="s">
        <v>695</v>
      </c>
      <c r="E214" s="13" t="s">
        <v>696</v>
      </c>
      <c r="F214" s="11"/>
      <c r="G214" s="14" t="s">
        <v>37</v>
      </c>
      <c r="H214" s="15"/>
      <c r="I214" s="15"/>
      <c r="J214" s="15"/>
    </row>
    <row r="215" spans="1:10" x14ac:dyDescent="0.3">
      <c r="A215" s="11" t="s">
        <v>16</v>
      </c>
      <c r="B215" s="11" t="s">
        <v>690</v>
      </c>
      <c r="C215" s="12" t="s">
        <v>697</v>
      </c>
      <c r="D215" s="12" t="s">
        <v>698</v>
      </c>
      <c r="E215" s="13" t="s">
        <v>699</v>
      </c>
      <c r="F215" s="11"/>
      <c r="G215" s="14" t="s">
        <v>37</v>
      </c>
      <c r="H215" s="15"/>
      <c r="I215" s="15"/>
      <c r="J215" s="15"/>
    </row>
    <row r="216" spans="1:10" x14ac:dyDescent="0.3">
      <c r="A216" s="11" t="s">
        <v>16</v>
      </c>
      <c r="B216" s="11" t="s">
        <v>700</v>
      </c>
      <c r="C216" s="12" t="s">
        <v>25</v>
      </c>
      <c r="D216" s="12" t="s">
        <v>701</v>
      </c>
      <c r="E216" s="13" t="s">
        <v>702</v>
      </c>
      <c r="F216" s="11"/>
      <c r="G216" s="14" t="s">
        <v>37</v>
      </c>
      <c r="H216" s="15"/>
      <c r="I216" s="15"/>
      <c r="J216" s="15"/>
    </row>
    <row r="217" spans="1:10" x14ac:dyDescent="0.3">
      <c r="A217" s="11" t="s">
        <v>16</v>
      </c>
      <c r="B217" s="11" t="s">
        <v>700</v>
      </c>
      <c r="C217" s="12" t="s">
        <v>703</v>
      </c>
      <c r="D217" s="12" t="s">
        <v>704</v>
      </c>
      <c r="E217" s="13" t="s">
        <v>705</v>
      </c>
      <c r="F217" s="11" t="s">
        <v>706</v>
      </c>
      <c r="G217" s="14" t="s">
        <v>37</v>
      </c>
      <c r="H217" s="15"/>
      <c r="I217" s="15"/>
      <c r="J217" s="15"/>
    </row>
    <row r="218" spans="1:10" x14ac:dyDescent="0.3">
      <c r="A218" s="11" t="s">
        <v>16</v>
      </c>
      <c r="B218" s="11" t="s">
        <v>707</v>
      </c>
      <c r="C218" s="12" t="s">
        <v>184</v>
      </c>
      <c r="D218" s="12" t="s">
        <v>708</v>
      </c>
      <c r="E218" s="13" t="s">
        <v>709</v>
      </c>
      <c r="F218" s="11"/>
      <c r="G218" s="14" t="s">
        <v>37</v>
      </c>
      <c r="H218" s="15"/>
      <c r="I218" s="15"/>
      <c r="J218" s="15"/>
    </row>
    <row r="219" spans="1:10" x14ac:dyDescent="0.3">
      <c r="A219" s="11" t="s">
        <v>16</v>
      </c>
      <c r="B219" s="11" t="s">
        <v>707</v>
      </c>
      <c r="C219" s="12" t="s">
        <v>184</v>
      </c>
      <c r="D219" s="12" t="s">
        <v>659</v>
      </c>
      <c r="E219" s="13" t="s">
        <v>710</v>
      </c>
      <c r="F219" s="11"/>
      <c r="G219" s="14" t="s">
        <v>37</v>
      </c>
      <c r="H219" s="15"/>
      <c r="I219" s="15"/>
      <c r="J219" s="15"/>
    </row>
    <row r="220" spans="1:10" x14ac:dyDescent="0.3">
      <c r="A220" s="11" t="s">
        <v>16</v>
      </c>
      <c r="B220" s="11" t="s">
        <v>707</v>
      </c>
      <c r="C220" s="12" t="s">
        <v>711</v>
      </c>
      <c r="D220" s="12" t="s">
        <v>712</v>
      </c>
      <c r="E220" s="13" t="s">
        <v>713</v>
      </c>
      <c r="F220" s="11"/>
      <c r="G220" s="14" t="s">
        <v>37</v>
      </c>
      <c r="H220" s="15"/>
      <c r="I220" s="15"/>
      <c r="J220" s="15"/>
    </row>
    <row r="221" spans="1:10" x14ac:dyDescent="0.3">
      <c r="A221" s="11" t="s">
        <v>16</v>
      </c>
      <c r="B221" s="11" t="s">
        <v>714</v>
      </c>
      <c r="C221" s="12" t="s">
        <v>715</v>
      </c>
      <c r="D221" s="12" t="s">
        <v>716</v>
      </c>
      <c r="E221" s="13" t="s">
        <v>717</v>
      </c>
      <c r="F221" s="11"/>
      <c r="G221" s="14" t="s">
        <v>37</v>
      </c>
      <c r="H221" s="15"/>
      <c r="I221" s="15"/>
      <c r="J221" s="15"/>
    </row>
    <row r="222" spans="1:10" x14ac:dyDescent="0.3">
      <c r="A222" s="11" t="s">
        <v>16</v>
      </c>
      <c r="B222" s="11" t="s">
        <v>714</v>
      </c>
      <c r="C222" s="12" t="s">
        <v>718</v>
      </c>
      <c r="D222" s="12" t="s">
        <v>719</v>
      </c>
      <c r="E222" s="13" t="s">
        <v>720</v>
      </c>
      <c r="F222" s="11"/>
      <c r="G222" s="14" t="s">
        <v>37</v>
      </c>
      <c r="H222" s="15"/>
      <c r="I222" s="15"/>
      <c r="J222" s="15"/>
    </row>
    <row r="223" spans="1:10" x14ac:dyDescent="0.3">
      <c r="A223" s="11" t="s">
        <v>16</v>
      </c>
      <c r="B223" s="11" t="s">
        <v>714</v>
      </c>
      <c r="C223" s="12" t="s">
        <v>721</v>
      </c>
      <c r="D223" s="12" t="s">
        <v>722</v>
      </c>
      <c r="E223" s="13" t="s">
        <v>723</v>
      </c>
      <c r="F223" s="11"/>
      <c r="G223" s="14" t="s">
        <v>37</v>
      </c>
      <c r="H223" s="15"/>
      <c r="I223" s="15"/>
      <c r="J223" s="15"/>
    </row>
    <row r="224" spans="1:10" x14ac:dyDescent="0.3">
      <c r="A224" s="11" t="s">
        <v>16</v>
      </c>
      <c r="B224" s="11" t="s">
        <v>714</v>
      </c>
      <c r="C224" s="12" t="s">
        <v>724</v>
      </c>
      <c r="D224" s="12" t="s">
        <v>725</v>
      </c>
      <c r="E224" s="13" t="s">
        <v>726</v>
      </c>
      <c r="F224" s="11"/>
      <c r="G224" s="14" t="s">
        <v>37</v>
      </c>
      <c r="H224" s="15"/>
      <c r="I224" s="15"/>
      <c r="J224" s="15"/>
    </row>
    <row r="225" spans="1:10" x14ac:dyDescent="0.3">
      <c r="A225" s="11" t="s">
        <v>16</v>
      </c>
      <c r="B225" s="11" t="s">
        <v>714</v>
      </c>
      <c r="C225" s="12" t="s">
        <v>727</v>
      </c>
      <c r="D225" s="12" t="s">
        <v>728</v>
      </c>
      <c r="E225" s="13" t="s">
        <v>729</v>
      </c>
      <c r="F225" s="11"/>
      <c r="G225" s="14" t="s">
        <v>37</v>
      </c>
      <c r="H225" s="15"/>
      <c r="I225" s="15"/>
      <c r="J225" s="15"/>
    </row>
    <row r="226" spans="1:10" x14ac:dyDescent="0.3">
      <c r="A226" s="11" t="s">
        <v>16</v>
      </c>
      <c r="B226" s="11" t="s">
        <v>714</v>
      </c>
      <c r="C226" s="12" t="s">
        <v>730</v>
      </c>
      <c r="D226" s="12" t="s">
        <v>731</v>
      </c>
      <c r="E226" s="13" t="s">
        <v>732</v>
      </c>
      <c r="F226" s="11"/>
      <c r="G226" s="14" t="s">
        <v>37</v>
      </c>
      <c r="H226" s="15"/>
      <c r="I226" s="15"/>
      <c r="J226" s="15"/>
    </row>
    <row r="227" spans="1:10" x14ac:dyDescent="0.3">
      <c r="A227" s="11" t="s">
        <v>16</v>
      </c>
      <c r="B227" s="11" t="s">
        <v>714</v>
      </c>
      <c r="C227" s="12" t="s">
        <v>733</v>
      </c>
      <c r="D227" s="12" t="s">
        <v>734</v>
      </c>
      <c r="E227" s="13" t="s">
        <v>735</v>
      </c>
      <c r="F227" s="11"/>
      <c r="G227" s="14" t="s">
        <v>37</v>
      </c>
      <c r="H227" s="15"/>
      <c r="I227" s="15"/>
      <c r="J227" s="15"/>
    </row>
    <row r="228" spans="1:10" x14ac:dyDescent="0.3">
      <c r="A228" s="11" t="s">
        <v>16</v>
      </c>
      <c r="B228" s="11" t="s">
        <v>736</v>
      </c>
      <c r="C228" s="12" t="s">
        <v>737</v>
      </c>
      <c r="D228" s="12" t="s">
        <v>738</v>
      </c>
      <c r="E228" s="13" t="s">
        <v>739</v>
      </c>
      <c r="F228" s="11"/>
      <c r="G228" s="14" t="s">
        <v>37</v>
      </c>
      <c r="H228" s="15"/>
      <c r="I228" s="15"/>
      <c r="J228" s="15"/>
    </row>
    <row r="229" spans="1:10" x14ac:dyDescent="0.3">
      <c r="A229" s="11" t="s">
        <v>16</v>
      </c>
      <c r="B229" s="11" t="s">
        <v>740</v>
      </c>
      <c r="C229" s="12" t="s">
        <v>741</v>
      </c>
      <c r="D229" s="12" t="s">
        <v>742</v>
      </c>
      <c r="E229" s="13" t="s">
        <v>743</v>
      </c>
      <c r="F229" s="11"/>
      <c r="G229" s="14" t="s">
        <v>37</v>
      </c>
      <c r="H229" s="15"/>
      <c r="I229" s="15"/>
      <c r="J229" s="15"/>
    </row>
    <row r="230" spans="1:10" x14ac:dyDescent="0.3">
      <c r="A230" s="11" t="s">
        <v>16</v>
      </c>
      <c r="B230" s="11" t="s">
        <v>744</v>
      </c>
      <c r="C230" s="12" t="s">
        <v>745</v>
      </c>
      <c r="D230" s="12" t="s">
        <v>746</v>
      </c>
      <c r="E230" s="13" t="s">
        <v>747</v>
      </c>
      <c r="F230" s="11"/>
      <c r="G230" s="14" t="s">
        <v>37</v>
      </c>
      <c r="H230" s="15"/>
      <c r="I230" s="15"/>
      <c r="J230" s="15"/>
    </row>
    <row r="231" spans="1:10" x14ac:dyDescent="0.3">
      <c r="A231" s="11" t="s">
        <v>16</v>
      </c>
      <c r="B231" s="11" t="s">
        <v>744</v>
      </c>
      <c r="C231" s="12" t="s">
        <v>748</v>
      </c>
      <c r="D231" s="12" t="s">
        <v>749</v>
      </c>
      <c r="E231" s="13" t="s">
        <v>750</v>
      </c>
      <c r="F231" s="11"/>
      <c r="G231" s="14" t="s">
        <v>37</v>
      </c>
      <c r="H231" s="15"/>
      <c r="I231" s="15"/>
      <c r="J231" s="15"/>
    </row>
  </sheetData>
  <autoFilter ref="A1:J231" xr:uid="{00000000-0009-0000-0000-000001000000}"/>
  <dataValidations count="2">
    <dataValidation type="list" allowBlank="1" sqref="H2:H231" xr:uid="{00000000-0002-0000-0100-000000000000}">
      <formula1>"Sí,No"</formula1>
    </dataValidation>
    <dataValidation type="list" allowBlank="1" sqref="I2:I231" xr:uid="{00000000-0002-0000-0100-000001000000}">
      <formula1>"Le interesa,Quiere más información,No le interesa,No contestó,Número equivocado,Ya cerró"</formula1>
    </dataValidation>
  </dataValidations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xr:uid="{00000000-0004-0000-0100-000027000000}"/>
    <hyperlink ref="G42" r:id="rId41" xr:uid="{00000000-0004-0000-0100-000028000000}"/>
    <hyperlink ref="G43" r:id="rId42" xr:uid="{00000000-0004-0000-0100-000029000000}"/>
    <hyperlink ref="G44" r:id="rId43" xr:uid="{00000000-0004-0000-0100-00002A000000}"/>
    <hyperlink ref="G45" r:id="rId44" xr:uid="{00000000-0004-0000-0100-00002B000000}"/>
    <hyperlink ref="G46" r:id="rId45" xr:uid="{00000000-0004-0000-0100-00002C000000}"/>
    <hyperlink ref="G47" r:id="rId46" xr:uid="{00000000-0004-0000-0100-00002D000000}"/>
    <hyperlink ref="G48" r:id="rId47" xr:uid="{00000000-0004-0000-0100-00002E000000}"/>
    <hyperlink ref="G49" r:id="rId48" xr:uid="{00000000-0004-0000-0100-00002F000000}"/>
    <hyperlink ref="G50" r:id="rId49" xr:uid="{00000000-0004-0000-0100-000030000000}"/>
    <hyperlink ref="G51" r:id="rId50" xr:uid="{00000000-0004-0000-0100-000031000000}"/>
    <hyperlink ref="G52" r:id="rId51" xr:uid="{00000000-0004-0000-0100-000032000000}"/>
    <hyperlink ref="G53" r:id="rId52" xr:uid="{00000000-0004-0000-0100-000033000000}"/>
    <hyperlink ref="G54" r:id="rId53" xr:uid="{00000000-0004-0000-0100-000034000000}"/>
    <hyperlink ref="G55" r:id="rId54" xr:uid="{00000000-0004-0000-0100-000035000000}"/>
    <hyperlink ref="G56" r:id="rId55" xr:uid="{00000000-0004-0000-0100-000036000000}"/>
    <hyperlink ref="G57" r:id="rId56" xr:uid="{00000000-0004-0000-0100-000037000000}"/>
    <hyperlink ref="G58" r:id="rId57" xr:uid="{00000000-0004-0000-0100-000038000000}"/>
    <hyperlink ref="G59" r:id="rId58" xr:uid="{00000000-0004-0000-0100-000039000000}"/>
    <hyperlink ref="G60" r:id="rId59" xr:uid="{00000000-0004-0000-0100-00003A000000}"/>
    <hyperlink ref="G61" r:id="rId60" xr:uid="{00000000-0004-0000-0100-00003B000000}"/>
    <hyperlink ref="G62" r:id="rId61" xr:uid="{00000000-0004-0000-0100-00003C000000}"/>
    <hyperlink ref="G63" r:id="rId62" xr:uid="{00000000-0004-0000-0100-00003D000000}"/>
    <hyperlink ref="G64" r:id="rId63" xr:uid="{00000000-0004-0000-0100-00003E000000}"/>
    <hyperlink ref="G65" r:id="rId64" xr:uid="{00000000-0004-0000-0100-00003F000000}"/>
    <hyperlink ref="G66" r:id="rId65" xr:uid="{00000000-0004-0000-0100-000040000000}"/>
    <hyperlink ref="G67" r:id="rId66" xr:uid="{00000000-0004-0000-0100-000041000000}"/>
    <hyperlink ref="G68" r:id="rId67" xr:uid="{00000000-0004-0000-0100-000042000000}"/>
    <hyperlink ref="G69" r:id="rId68" xr:uid="{00000000-0004-0000-0100-000043000000}"/>
    <hyperlink ref="G70" r:id="rId69" xr:uid="{00000000-0004-0000-0100-000044000000}"/>
    <hyperlink ref="G71" r:id="rId70" xr:uid="{00000000-0004-0000-0100-000045000000}"/>
    <hyperlink ref="G72" r:id="rId71" xr:uid="{00000000-0004-0000-0100-000046000000}"/>
    <hyperlink ref="G73" r:id="rId72" xr:uid="{00000000-0004-0000-0100-000047000000}"/>
    <hyperlink ref="G74" r:id="rId73" xr:uid="{00000000-0004-0000-0100-000048000000}"/>
    <hyperlink ref="G75" r:id="rId74" xr:uid="{00000000-0004-0000-0100-000049000000}"/>
    <hyperlink ref="G76" r:id="rId75" xr:uid="{00000000-0004-0000-0100-00004A000000}"/>
    <hyperlink ref="G77" r:id="rId76" xr:uid="{00000000-0004-0000-0100-00004B000000}"/>
    <hyperlink ref="G78" r:id="rId77" xr:uid="{00000000-0004-0000-0100-00004C000000}"/>
    <hyperlink ref="G79" r:id="rId78" xr:uid="{00000000-0004-0000-0100-00004D000000}"/>
    <hyperlink ref="G80" r:id="rId79" xr:uid="{00000000-0004-0000-0100-00004E000000}"/>
    <hyperlink ref="G81" r:id="rId80" xr:uid="{00000000-0004-0000-0100-00004F000000}"/>
    <hyperlink ref="G82" r:id="rId81" xr:uid="{00000000-0004-0000-0100-000050000000}"/>
    <hyperlink ref="G83" r:id="rId82" xr:uid="{00000000-0004-0000-0100-000051000000}"/>
    <hyperlink ref="G84" r:id="rId83" xr:uid="{00000000-0004-0000-0100-000052000000}"/>
    <hyperlink ref="G85" r:id="rId84" xr:uid="{00000000-0004-0000-0100-000053000000}"/>
    <hyperlink ref="G86" r:id="rId85" xr:uid="{00000000-0004-0000-0100-000054000000}"/>
    <hyperlink ref="G87" r:id="rId86" xr:uid="{00000000-0004-0000-0100-000055000000}"/>
    <hyperlink ref="G88" r:id="rId87" xr:uid="{00000000-0004-0000-0100-000056000000}"/>
    <hyperlink ref="G89" r:id="rId88" xr:uid="{00000000-0004-0000-0100-000057000000}"/>
    <hyperlink ref="G90" r:id="rId89" xr:uid="{00000000-0004-0000-0100-000058000000}"/>
    <hyperlink ref="G91" r:id="rId90" xr:uid="{00000000-0004-0000-0100-000059000000}"/>
    <hyperlink ref="G92" r:id="rId91" xr:uid="{00000000-0004-0000-0100-00005A000000}"/>
    <hyperlink ref="G93" r:id="rId92" xr:uid="{00000000-0004-0000-0100-00005B000000}"/>
    <hyperlink ref="G94" r:id="rId93" xr:uid="{00000000-0004-0000-0100-00005C000000}"/>
    <hyperlink ref="G95" r:id="rId94" xr:uid="{00000000-0004-0000-0100-00005D000000}"/>
    <hyperlink ref="G96" r:id="rId95" xr:uid="{00000000-0004-0000-0100-00005E000000}"/>
    <hyperlink ref="G97" r:id="rId96" xr:uid="{00000000-0004-0000-0100-00005F000000}"/>
    <hyperlink ref="G98" r:id="rId97" xr:uid="{00000000-0004-0000-0100-000060000000}"/>
    <hyperlink ref="G99" r:id="rId98" xr:uid="{00000000-0004-0000-0100-000061000000}"/>
    <hyperlink ref="G100" r:id="rId99" xr:uid="{00000000-0004-0000-0100-000062000000}"/>
    <hyperlink ref="G101" r:id="rId100" xr:uid="{00000000-0004-0000-0100-000063000000}"/>
    <hyperlink ref="G102" r:id="rId101" xr:uid="{00000000-0004-0000-0100-000064000000}"/>
    <hyperlink ref="G103" r:id="rId102" xr:uid="{00000000-0004-0000-0100-000065000000}"/>
    <hyperlink ref="G104" r:id="rId103" xr:uid="{00000000-0004-0000-0100-000066000000}"/>
    <hyperlink ref="G105" r:id="rId104" xr:uid="{00000000-0004-0000-0100-000067000000}"/>
    <hyperlink ref="G106" r:id="rId105" xr:uid="{00000000-0004-0000-0100-000068000000}"/>
    <hyperlink ref="G107" r:id="rId106" xr:uid="{00000000-0004-0000-0100-000069000000}"/>
    <hyperlink ref="G108" r:id="rId107" xr:uid="{00000000-0004-0000-0100-00006A000000}"/>
    <hyperlink ref="G109" r:id="rId108" xr:uid="{00000000-0004-0000-0100-00006B000000}"/>
    <hyperlink ref="G110" r:id="rId109" xr:uid="{00000000-0004-0000-0100-00006C000000}"/>
    <hyperlink ref="G111" r:id="rId110" xr:uid="{00000000-0004-0000-0100-00006D000000}"/>
    <hyperlink ref="G112" r:id="rId111" xr:uid="{00000000-0004-0000-0100-00006E000000}"/>
    <hyperlink ref="G113" r:id="rId112" xr:uid="{00000000-0004-0000-0100-00006F000000}"/>
    <hyperlink ref="G114" r:id="rId113" xr:uid="{00000000-0004-0000-0100-000070000000}"/>
    <hyperlink ref="G115" r:id="rId114" xr:uid="{00000000-0004-0000-0100-000071000000}"/>
    <hyperlink ref="G116" r:id="rId115" xr:uid="{00000000-0004-0000-0100-000072000000}"/>
    <hyperlink ref="G117" r:id="rId116" xr:uid="{00000000-0004-0000-0100-000073000000}"/>
    <hyperlink ref="G118" r:id="rId117" xr:uid="{00000000-0004-0000-0100-000074000000}"/>
    <hyperlink ref="G119" r:id="rId118" xr:uid="{00000000-0004-0000-0100-000075000000}"/>
    <hyperlink ref="G120" r:id="rId119" xr:uid="{00000000-0004-0000-0100-000076000000}"/>
    <hyperlink ref="G121" r:id="rId120" xr:uid="{00000000-0004-0000-0100-000077000000}"/>
    <hyperlink ref="G122" r:id="rId121" xr:uid="{00000000-0004-0000-0100-000078000000}"/>
    <hyperlink ref="G123" r:id="rId122" xr:uid="{00000000-0004-0000-0100-000079000000}"/>
    <hyperlink ref="G124" r:id="rId123" xr:uid="{00000000-0004-0000-0100-00007A000000}"/>
    <hyperlink ref="G125" r:id="rId124" xr:uid="{00000000-0004-0000-0100-00007B000000}"/>
    <hyperlink ref="G126" r:id="rId125" xr:uid="{00000000-0004-0000-0100-00007C000000}"/>
    <hyperlink ref="G127" r:id="rId126" xr:uid="{00000000-0004-0000-0100-00007D000000}"/>
    <hyperlink ref="G128" r:id="rId127" xr:uid="{00000000-0004-0000-0100-00007E000000}"/>
    <hyperlink ref="G129" r:id="rId128" xr:uid="{00000000-0004-0000-0100-00007F000000}"/>
    <hyperlink ref="G130" r:id="rId129" xr:uid="{00000000-0004-0000-0100-000080000000}"/>
    <hyperlink ref="G131" r:id="rId130" xr:uid="{00000000-0004-0000-0100-000081000000}"/>
    <hyperlink ref="G132" r:id="rId131" xr:uid="{00000000-0004-0000-0100-000082000000}"/>
    <hyperlink ref="G133" r:id="rId132" xr:uid="{00000000-0004-0000-0100-000083000000}"/>
    <hyperlink ref="G134" r:id="rId133" xr:uid="{00000000-0004-0000-0100-000084000000}"/>
    <hyperlink ref="G135" r:id="rId134" xr:uid="{00000000-0004-0000-0100-000085000000}"/>
    <hyperlink ref="G136" r:id="rId135" xr:uid="{00000000-0004-0000-0100-000086000000}"/>
    <hyperlink ref="G137" r:id="rId136" xr:uid="{00000000-0004-0000-0100-000087000000}"/>
    <hyperlink ref="G138" r:id="rId137" xr:uid="{00000000-0004-0000-0100-000088000000}"/>
    <hyperlink ref="G139" r:id="rId138" xr:uid="{00000000-0004-0000-0100-000089000000}"/>
    <hyperlink ref="G140" r:id="rId139" xr:uid="{00000000-0004-0000-0100-00008A000000}"/>
    <hyperlink ref="G141" r:id="rId140" xr:uid="{00000000-0004-0000-0100-00008B000000}"/>
    <hyperlink ref="G142" r:id="rId141" xr:uid="{00000000-0004-0000-0100-00008C000000}"/>
    <hyperlink ref="G143" r:id="rId142" xr:uid="{00000000-0004-0000-0100-00008D000000}"/>
    <hyperlink ref="G144" r:id="rId143" xr:uid="{00000000-0004-0000-0100-00008E000000}"/>
    <hyperlink ref="G145" r:id="rId144" xr:uid="{00000000-0004-0000-0100-00008F000000}"/>
    <hyperlink ref="G146" r:id="rId145" xr:uid="{00000000-0004-0000-0100-000090000000}"/>
    <hyperlink ref="G147" r:id="rId146" xr:uid="{00000000-0004-0000-0100-000091000000}"/>
    <hyperlink ref="G148" r:id="rId147" xr:uid="{00000000-0004-0000-0100-000092000000}"/>
    <hyperlink ref="G149" r:id="rId148" xr:uid="{00000000-0004-0000-0100-000093000000}"/>
    <hyperlink ref="G150" r:id="rId149" xr:uid="{00000000-0004-0000-0100-000094000000}"/>
    <hyperlink ref="G151" r:id="rId150" xr:uid="{00000000-0004-0000-0100-000095000000}"/>
    <hyperlink ref="G152" r:id="rId151" xr:uid="{00000000-0004-0000-0100-000096000000}"/>
    <hyperlink ref="G153" r:id="rId152" xr:uid="{00000000-0004-0000-0100-000097000000}"/>
    <hyperlink ref="G154" r:id="rId153" xr:uid="{00000000-0004-0000-0100-000098000000}"/>
    <hyperlink ref="G155" r:id="rId154" xr:uid="{00000000-0004-0000-0100-000099000000}"/>
    <hyperlink ref="G156" r:id="rId155" xr:uid="{00000000-0004-0000-0100-00009A000000}"/>
    <hyperlink ref="G157" r:id="rId156" xr:uid="{00000000-0004-0000-0100-00009B000000}"/>
    <hyperlink ref="G158" r:id="rId157" xr:uid="{00000000-0004-0000-0100-00009C000000}"/>
    <hyperlink ref="G159" r:id="rId158" xr:uid="{00000000-0004-0000-0100-00009D000000}"/>
    <hyperlink ref="G160" r:id="rId159" xr:uid="{00000000-0004-0000-0100-00009E000000}"/>
    <hyperlink ref="G161" r:id="rId160" xr:uid="{00000000-0004-0000-0100-00009F000000}"/>
    <hyperlink ref="G162" r:id="rId161" xr:uid="{00000000-0004-0000-0100-0000A0000000}"/>
    <hyperlink ref="G163" r:id="rId162" xr:uid="{00000000-0004-0000-0100-0000A1000000}"/>
    <hyperlink ref="G164" r:id="rId163" xr:uid="{00000000-0004-0000-0100-0000A2000000}"/>
    <hyperlink ref="G165" r:id="rId164" xr:uid="{00000000-0004-0000-0100-0000A3000000}"/>
    <hyperlink ref="G166" r:id="rId165" xr:uid="{00000000-0004-0000-0100-0000A4000000}"/>
    <hyperlink ref="G167" r:id="rId166" xr:uid="{00000000-0004-0000-0100-0000A5000000}"/>
    <hyperlink ref="G168" r:id="rId167" xr:uid="{00000000-0004-0000-0100-0000A6000000}"/>
    <hyperlink ref="G169" r:id="rId168" xr:uid="{00000000-0004-0000-0100-0000A7000000}"/>
    <hyperlink ref="G170" r:id="rId169" xr:uid="{00000000-0004-0000-0100-0000A8000000}"/>
    <hyperlink ref="G171" r:id="rId170" xr:uid="{00000000-0004-0000-0100-0000A9000000}"/>
    <hyperlink ref="G172" r:id="rId171" xr:uid="{00000000-0004-0000-0100-0000AA000000}"/>
    <hyperlink ref="G173" r:id="rId172" xr:uid="{00000000-0004-0000-0100-0000AB000000}"/>
    <hyperlink ref="G174" r:id="rId173" xr:uid="{00000000-0004-0000-0100-0000AC000000}"/>
    <hyperlink ref="G175" r:id="rId174" xr:uid="{00000000-0004-0000-0100-0000AD000000}"/>
    <hyperlink ref="G176" r:id="rId175" xr:uid="{00000000-0004-0000-0100-0000AE000000}"/>
    <hyperlink ref="G177" r:id="rId176" xr:uid="{00000000-0004-0000-0100-0000AF000000}"/>
    <hyperlink ref="G178" r:id="rId177" xr:uid="{00000000-0004-0000-0100-0000B0000000}"/>
    <hyperlink ref="G179" r:id="rId178" xr:uid="{00000000-0004-0000-0100-0000B1000000}"/>
    <hyperlink ref="G180" r:id="rId179" xr:uid="{00000000-0004-0000-0100-0000B2000000}"/>
    <hyperlink ref="G181" r:id="rId180" xr:uid="{00000000-0004-0000-0100-0000B3000000}"/>
    <hyperlink ref="G182" r:id="rId181" xr:uid="{00000000-0004-0000-0100-0000B4000000}"/>
    <hyperlink ref="G183" r:id="rId182" xr:uid="{00000000-0004-0000-0100-0000B5000000}"/>
    <hyperlink ref="G184" r:id="rId183" xr:uid="{00000000-0004-0000-0100-0000B6000000}"/>
    <hyperlink ref="G185" r:id="rId184" xr:uid="{00000000-0004-0000-0100-0000B7000000}"/>
    <hyperlink ref="G186" r:id="rId185" xr:uid="{00000000-0004-0000-0100-0000B8000000}"/>
    <hyperlink ref="G187" r:id="rId186" xr:uid="{00000000-0004-0000-0100-0000B9000000}"/>
    <hyperlink ref="G188" r:id="rId187" xr:uid="{00000000-0004-0000-0100-0000BA000000}"/>
    <hyperlink ref="G189" r:id="rId188" xr:uid="{00000000-0004-0000-0100-0000BB000000}"/>
    <hyperlink ref="G190" r:id="rId189" xr:uid="{00000000-0004-0000-0100-0000BC000000}"/>
    <hyperlink ref="G191" r:id="rId190" xr:uid="{00000000-0004-0000-0100-0000BD000000}"/>
    <hyperlink ref="G192" r:id="rId191" xr:uid="{00000000-0004-0000-0100-0000BE000000}"/>
    <hyperlink ref="G193" r:id="rId192" xr:uid="{00000000-0004-0000-0100-0000BF000000}"/>
    <hyperlink ref="G194" r:id="rId193" xr:uid="{00000000-0004-0000-0100-0000C0000000}"/>
    <hyperlink ref="G195" r:id="rId194" xr:uid="{00000000-0004-0000-0100-0000C1000000}"/>
    <hyperlink ref="G196" r:id="rId195" xr:uid="{00000000-0004-0000-0100-0000C2000000}"/>
    <hyperlink ref="G197" r:id="rId196" xr:uid="{00000000-0004-0000-0100-0000C3000000}"/>
    <hyperlink ref="G198" r:id="rId197" xr:uid="{00000000-0004-0000-0100-0000C4000000}"/>
    <hyperlink ref="G199" r:id="rId198" xr:uid="{00000000-0004-0000-0100-0000C5000000}"/>
    <hyperlink ref="G200" r:id="rId199" xr:uid="{00000000-0004-0000-0100-0000C6000000}"/>
    <hyperlink ref="G201" r:id="rId200" xr:uid="{00000000-0004-0000-0100-0000C7000000}"/>
    <hyperlink ref="G202" r:id="rId201" xr:uid="{00000000-0004-0000-0100-0000C8000000}"/>
    <hyperlink ref="G203" r:id="rId202" xr:uid="{00000000-0004-0000-0100-0000C9000000}"/>
    <hyperlink ref="G204" r:id="rId203" xr:uid="{00000000-0004-0000-0100-0000CA000000}"/>
    <hyperlink ref="G205" r:id="rId204" xr:uid="{00000000-0004-0000-0100-0000CB000000}"/>
    <hyperlink ref="G206" r:id="rId205" xr:uid="{00000000-0004-0000-0100-0000CC000000}"/>
    <hyperlink ref="G207" r:id="rId206" xr:uid="{00000000-0004-0000-0100-0000CD000000}"/>
    <hyperlink ref="G208" r:id="rId207" xr:uid="{00000000-0004-0000-0100-0000CE000000}"/>
    <hyperlink ref="G209" r:id="rId208" xr:uid="{00000000-0004-0000-0100-0000CF000000}"/>
    <hyperlink ref="G210" r:id="rId209" xr:uid="{00000000-0004-0000-0100-0000D0000000}"/>
    <hyperlink ref="G211" r:id="rId210" xr:uid="{00000000-0004-0000-0100-0000D1000000}"/>
    <hyperlink ref="G212" r:id="rId211" xr:uid="{00000000-0004-0000-0100-0000D2000000}"/>
    <hyperlink ref="G213" r:id="rId212" xr:uid="{00000000-0004-0000-0100-0000D3000000}"/>
    <hyperlink ref="G214" r:id="rId213" xr:uid="{00000000-0004-0000-0100-0000D4000000}"/>
    <hyperlink ref="G215" r:id="rId214" xr:uid="{00000000-0004-0000-0100-0000D5000000}"/>
    <hyperlink ref="G216" r:id="rId215" xr:uid="{00000000-0004-0000-0100-0000D6000000}"/>
    <hyperlink ref="G217" r:id="rId216" xr:uid="{00000000-0004-0000-0100-0000D7000000}"/>
    <hyperlink ref="G218" r:id="rId217" xr:uid="{00000000-0004-0000-0100-0000D8000000}"/>
    <hyperlink ref="G219" r:id="rId218" xr:uid="{00000000-0004-0000-0100-0000D9000000}"/>
    <hyperlink ref="G220" r:id="rId219" xr:uid="{00000000-0004-0000-0100-0000DA000000}"/>
    <hyperlink ref="G221" r:id="rId220" xr:uid="{00000000-0004-0000-0100-0000DB000000}"/>
    <hyperlink ref="G222" r:id="rId221" xr:uid="{00000000-0004-0000-0100-0000DC000000}"/>
    <hyperlink ref="G223" r:id="rId222" xr:uid="{00000000-0004-0000-0100-0000DD000000}"/>
    <hyperlink ref="G224" r:id="rId223" xr:uid="{00000000-0004-0000-0100-0000DE000000}"/>
    <hyperlink ref="G225" r:id="rId224" xr:uid="{00000000-0004-0000-0100-0000DF000000}"/>
    <hyperlink ref="G226" r:id="rId225" xr:uid="{00000000-0004-0000-0100-0000E0000000}"/>
    <hyperlink ref="G227" r:id="rId226" xr:uid="{00000000-0004-0000-0100-0000E1000000}"/>
    <hyperlink ref="G228" r:id="rId227" xr:uid="{00000000-0004-0000-0100-0000E2000000}"/>
    <hyperlink ref="G229" r:id="rId228" xr:uid="{00000000-0004-0000-0100-0000E3000000}"/>
    <hyperlink ref="G230" r:id="rId229" xr:uid="{00000000-0004-0000-0100-0000E4000000}"/>
    <hyperlink ref="G231" r:id="rId230" xr:uid="{00000000-0004-0000-0100-0000E5000000}"/>
  </hyperlink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6" customWidth="1"/>
    <col min="4" max="4" width="52" customWidth="1"/>
    <col min="5" max="5" width="30" customWidth="1"/>
    <col min="6" max="6" width="12" customWidth="1"/>
    <col min="7" max="7" width="13" customWidth="1"/>
    <col min="8" max="8" width="22" customWidth="1"/>
    <col min="9" max="9" width="44" customWidth="1"/>
  </cols>
  <sheetData>
    <row r="1" spans="1:9" ht="30" customHeight="1" x14ac:dyDescent="0.3">
      <c r="A1" s="6" t="s">
        <v>7</v>
      </c>
      <c r="B1" s="6" t="s">
        <v>24</v>
      </c>
      <c r="C1" s="6" t="s">
        <v>25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</row>
    <row r="2" spans="1:9" ht="26.4" x14ac:dyDescent="0.3">
      <c r="A2" s="11" t="s">
        <v>12</v>
      </c>
      <c r="B2" s="11" t="s">
        <v>33</v>
      </c>
      <c r="C2" s="12" t="s">
        <v>751</v>
      </c>
      <c r="D2" s="13" t="s">
        <v>752</v>
      </c>
      <c r="E2" s="11"/>
      <c r="F2" s="14" t="s">
        <v>37</v>
      </c>
      <c r="G2" s="15"/>
      <c r="H2" s="15"/>
      <c r="I2" s="15"/>
    </row>
    <row r="3" spans="1:9" ht="26.4" x14ac:dyDescent="0.3">
      <c r="A3" s="11" t="s">
        <v>12</v>
      </c>
      <c r="B3" s="11" t="s">
        <v>33</v>
      </c>
      <c r="C3" s="12" t="s">
        <v>753</v>
      </c>
      <c r="D3" s="13" t="s">
        <v>754</v>
      </c>
      <c r="E3" s="11"/>
      <c r="F3" s="14" t="s">
        <v>37</v>
      </c>
      <c r="G3" s="15"/>
      <c r="H3" s="15"/>
      <c r="I3" s="15"/>
    </row>
    <row r="4" spans="1:9" ht="26.4" x14ac:dyDescent="0.3">
      <c r="A4" s="11" t="s">
        <v>12</v>
      </c>
      <c r="B4" s="11" t="s">
        <v>33</v>
      </c>
      <c r="C4" s="12" t="s">
        <v>755</v>
      </c>
      <c r="D4" s="13" t="s">
        <v>756</v>
      </c>
      <c r="E4" s="11"/>
      <c r="F4" s="14" t="s">
        <v>37</v>
      </c>
      <c r="G4" s="15"/>
      <c r="H4" s="15"/>
      <c r="I4" s="15"/>
    </row>
    <row r="5" spans="1:9" ht="26.4" x14ac:dyDescent="0.3">
      <c r="A5" s="11" t="s">
        <v>12</v>
      </c>
      <c r="B5" s="11" t="s">
        <v>33</v>
      </c>
      <c r="C5" s="12" t="s">
        <v>757</v>
      </c>
      <c r="D5" s="13" t="s">
        <v>758</v>
      </c>
      <c r="E5" s="11"/>
      <c r="F5" s="14" t="s">
        <v>37</v>
      </c>
      <c r="G5" s="15"/>
      <c r="H5" s="15"/>
      <c r="I5" s="15"/>
    </row>
    <row r="6" spans="1:9" x14ac:dyDescent="0.3">
      <c r="A6" s="11" t="s">
        <v>12</v>
      </c>
      <c r="B6" s="11" t="s">
        <v>33</v>
      </c>
      <c r="C6" s="12" t="s">
        <v>759</v>
      </c>
      <c r="D6" s="13" t="s">
        <v>760</v>
      </c>
      <c r="E6" s="11"/>
      <c r="F6" s="14" t="s">
        <v>37</v>
      </c>
      <c r="G6" s="15"/>
      <c r="H6" s="15"/>
      <c r="I6" s="15"/>
    </row>
    <row r="7" spans="1:9" ht="26.4" x14ac:dyDescent="0.3">
      <c r="A7" s="11" t="s">
        <v>12</v>
      </c>
      <c r="B7" s="11" t="s">
        <v>33</v>
      </c>
      <c r="C7" s="12" t="s">
        <v>761</v>
      </c>
      <c r="D7" s="13" t="s">
        <v>762</v>
      </c>
      <c r="E7" s="11" t="s">
        <v>763</v>
      </c>
      <c r="F7" s="14" t="s">
        <v>37</v>
      </c>
      <c r="G7" s="15"/>
      <c r="H7" s="15"/>
      <c r="I7" s="15"/>
    </row>
    <row r="8" spans="1:9" x14ac:dyDescent="0.3">
      <c r="A8" s="11" t="s">
        <v>12</v>
      </c>
      <c r="B8" s="11" t="s">
        <v>33</v>
      </c>
      <c r="C8" s="12" t="s">
        <v>764</v>
      </c>
      <c r="D8" s="13" t="s">
        <v>765</v>
      </c>
      <c r="E8" s="11"/>
      <c r="F8" s="14" t="s">
        <v>37</v>
      </c>
      <c r="G8" s="15"/>
      <c r="H8" s="15"/>
      <c r="I8" s="15"/>
    </row>
    <row r="9" spans="1:9" x14ac:dyDescent="0.3">
      <c r="A9" s="11" t="s">
        <v>12</v>
      </c>
      <c r="B9" s="11" t="s">
        <v>33</v>
      </c>
      <c r="C9" s="12" t="s">
        <v>46</v>
      </c>
      <c r="D9" s="13" t="s">
        <v>766</v>
      </c>
      <c r="E9" s="11" t="s">
        <v>767</v>
      </c>
      <c r="F9" s="14" t="s">
        <v>37</v>
      </c>
      <c r="G9" s="15"/>
      <c r="H9" s="15"/>
      <c r="I9" s="15"/>
    </row>
    <row r="10" spans="1:9" x14ac:dyDescent="0.3">
      <c r="A10" s="11" t="s">
        <v>12</v>
      </c>
      <c r="B10" s="11" t="s">
        <v>33</v>
      </c>
      <c r="C10" s="12" t="s">
        <v>768</v>
      </c>
      <c r="D10" s="13" t="s">
        <v>769</v>
      </c>
      <c r="E10" s="11"/>
      <c r="F10" s="14" t="s">
        <v>37</v>
      </c>
      <c r="G10" s="15"/>
      <c r="H10" s="15"/>
      <c r="I10" s="15"/>
    </row>
    <row r="11" spans="1:9" x14ac:dyDescent="0.3">
      <c r="A11" s="11" t="s">
        <v>12</v>
      </c>
      <c r="B11" s="11" t="s">
        <v>33</v>
      </c>
      <c r="C11" s="12" t="s">
        <v>770</v>
      </c>
      <c r="D11" s="13" t="s">
        <v>771</v>
      </c>
      <c r="E11" s="11"/>
      <c r="F11" s="14" t="s">
        <v>37</v>
      </c>
      <c r="G11" s="15"/>
      <c r="H11" s="15"/>
      <c r="I11" s="15"/>
    </row>
    <row r="12" spans="1:9" ht="26.4" x14ac:dyDescent="0.3">
      <c r="A12" s="11" t="s">
        <v>12</v>
      </c>
      <c r="B12" s="11" t="s">
        <v>33</v>
      </c>
      <c r="C12" s="12" t="s">
        <v>25</v>
      </c>
      <c r="D12" s="13" t="s">
        <v>772</v>
      </c>
      <c r="E12" s="11"/>
      <c r="F12" s="14" t="s">
        <v>37</v>
      </c>
      <c r="G12" s="15"/>
      <c r="H12" s="15"/>
      <c r="I12" s="15"/>
    </row>
    <row r="13" spans="1:9" ht="26.4" x14ac:dyDescent="0.3">
      <c r="A13" s="11" t="s">
        <v>12</v>
      </c>
      <c r="B13" s="11" t="s">
        <v>33</v>
      </c>
      <c r="C13" s="12" t="s">
        <v>25</v>
      </c>
      <c r="D13" s="13" t="s">
        <v>773</v>
      </c>
      <c r="E13" s="11"/>
      <c r="F13" s="14" t="s">
        <v>37</v>
      </c>
      <c r="G13" s="15"/>
      <c r="H13" s="15"/>
      <c r="I13" s="15"/>
    </row>
    <row r="14" spans="1:9" ht="26.4" x14ac:dyDescent="0.3">
      <c r="A14" s="11" t="s">
        <v>12</v>
      </c>
      <c r="B14" s="11" t="s">
        <v>33</v>
      </c>
      <c r="C14" s="12" t="s">
        <v>774</v>
      </c>
      <c r="D14" s="13" t="s">
        <v>775</v>
      </c>
      <c r="E14" s="11"/>
      <c r="F14" s="14" t="s">
        <v>37</v>
      </c>
      <c r="G14" s="15"/>
      <c r="H14" s="15"/>
      <c r="I14" s="15"/>
    </row>
    <row r="15" spans="1:9" ht="26.4" x14ac:dyDescent="0.3">
      <c r="A15" s="11" t="s">
        <v>12</v>
      </c>
      <c r="B15" s="11" t="s">
        <v>33</v>
      </c>
      <c r="C15" s="12" t="s">
        <v>776</v>
      </c>
      <c r="D15" s="13" t="s">
        <v>777</v>
      </c>
      <c r="E15" s="11"/>
      <c r="F15" s="14" t="s">
        <v>37</v>
      </c>
      <c r="G15" s="15"/>
      <c r="H15" s="15"/>
      <c r="I15" s="15"/>
    </row>
    <row r="16" spans="1:9" ht="26.4" x14ac:dyDescent="0.3">
      <c r="A16" s="11" t="s">
        <v>12</v>
      </c>
      <c r="B16" s="11" t="s">
        <v>33</v>
      </c>
      <c r="C16" s="12" t="s">
        <v>778</v>
      </c>
      <c r="D16" s="13" t="s">
        <v>779</v>
      </c>
      <c r="E16" s="11"/>
      <c r="F16" s="14" t="s">
        <v>37</v>
      </c>
      <c r="G16" s="15"/>
      <c r="H16" s="15"/>
      <c r="I16" s="15"/>
    </row>
    <row r="17" spans="1:9" x14ac:dyDescent="0.3">
      <c r="A17" s="11" t="s">
        <v>12</v>
      </c>
      <c r="B17" s="11" t="s">
        <v>33</v>
      </c>
      <c r="C17" s="12" t="s">
        <v>780</v>
      </c>
      <c r="D17" s="13" t="s">
        <v>781</v>
      </c>
      <c r="E17" s="11" t="s">
        <v>782</v>
      </c>
      <c r="F17" s="14" t="s">
        <v>37</v>
      </c>
      <c r="G17" s="15"/>
      <c r="H17" s="15"/>
      <c r="I17" s="15"/>
    </row>
    <row r="18" spans="1:9" ht="26.4" x14ac:dyDescent="0.3">
      <c r="A18" s="11" t="s">
        <v>12</v>
      </c>
      <c r="B18" s="11" t="s">
        <v>33</v>
      </c>
      <c r="C18" s="12" t="s">
        <v>783</v>
      </c>
      <c r="D18" s="13" t="s">
        <v>784</v>
      </c>
      <c r="E18" s="11"/>
      <c r="F18" s="14" t="s">
        <v>37</v>
      </c>
      <c r="G18" s="15"/>
      <c r="H18" s="15"/>
      <c r="I18" s="15"/>
    </row>
    <row r="19" spans="1:9" x14ac:dyDescent="0.3">
      <c r="A19" s="11" t="s">
        <v>12</v>
      </c>
      <c r="B19" s="11" t="s">
        <v>33</v>
      </c>
      <c r="C19" s="12" t="s">
        <v>703</v>
      </c>
      <c r="D19" s="13" t="s">
        <v>785</v>
      </c>
      <c r="E19" s="11"/>
      <c r="F19" s="14" t="s">
        <v>37</v>
      </c>
      <c r="G19" s="15"/>
      <c r="H19" s="15"/>
      <c r="I19" s="15"/>
    </row>
    <row r="20" spans="1:9" ht="26.4" x14ac:dyDescent="0.3">
      <c r="A20" s="11" t="s">
        <v>12</v>
      </c>
      <c r="B20" s="11" t="s">
        <v>33</v>
      </c>
      <c r="C20" s="12" t="s">
        <v>786</v>
      </c>
      <c r="D20" s="13" t="s">
        <v>787</v>
      </c>
      <c r="E20" s="11"/>
      <c r="F20" s="14" t="s">
        <v>37</v>
      </c>
      <c r="G20" s="15"/>
      <c r="H20" s="15"/>
      <c r="I20" s="15"/>
    </row>
    <row r="21" spans="1:9" x14ac:dyDescent="0.3">
      <c r="A21" s="11" t="s">
        <v>12</v>
      </c>
      <c r="B21" s="11" t="s">
        <v>33</v>
      </c>
      <c r="C21" s="12" t="s">
        <v>788</v>
      </c>
      <c r="D21" s="13" t="s">
        <v>789</v>
      </c>
      <c r="E21" s="11" t="s">
        <v>790</v>
      </c>
      <c r="F21" s="14" t="s">
        <v>37</v>
      </c>
      <c r="G21" s="15"/>
      <c r="H21" s="15"/>
      <c r="I21" s="15"/>
    </row>
    <row r="22" spans="1:9" ht="26.4" x14ac:dyDescent="0.3">
      <c r="A22" s="11" t="s">
        <v>12</v>
      </c>
      <c r="B22" s="11" t="s">
        <v>33</v>
      </c>
      <c r="C22" s="12" t="s">
        <v>791</v>
      </c>
      <c r="D22" s="13" t="s">
        <v>792</v>
      </c>
      <c r="E22" s="11"/>
      <c r="F22" s="14" t="s">
        <v>37</v>
      </c>
      <c r="G22" s="15"/>
      <c r="H22" s="15"/>
      <c r="I22" s="15"/>
    </row>
    <row r="23" spans="1:9" ht="26.4" x14ac:dyDescent="0.3">
      <c r="A23" s="11" t="s">
        <v>12</v>
      </c>
      <c r="B23" s="11" t="s">
        <v>33</v>
      </c>
      <c r="C23" s="12" t="s">
        <v>793</v>
      </c>
      <c r="D23" s="13" t="s">
        <v>794</v>
      </c>
      <c r="E23" s="11"/>
      <c r="F23" s="14" t="s">
        <v>37</v>
      </c>
      <c r="G23" s="15"/>
      <c r="H23" s="15"/>
      <c r="I23" s="15"/>
    </row>
    <row r="24" spans="1:9" x14ac:dyDescent="0.3">
      <c r="A24" s="11" t="s">
        <v>12</v>
      </c>
      <c r="B24" s="11" t="s">
        <v>33</v>
      </c>
      <c r="C24" s="12" t="s">
        <v>795</v>
      </c>
      <c r="D24" s="13" t="s">
        <v>796</v>
      </c>
      <c r="E24" s="11"/>
      <c r="F24" s="14" t="s">
        <v>37</v>
      </c>
      <c r="G24" s="15"/>
      <c r="H24" s="15"/>
      <c r="I24" s="15"/>
    </row>
    <row r="25" spans="1:9" x14ac:dyDescent="0.3">
      <c r="A25" s="11" t="s">
        <v>12</v>
      </c>
      <c r="B25" s="11" t="s">
        <v>33</v>
      </c>
      <c r="C25" s="12" t="s">
        <v>715</v>
      </c>
      <c r="D25" s="13" t="s">
        <v>797</v>
      </c>
      <c r="E25" s="11"/>
      <c r="F25" s="14" t="s">
        <v>37</v>
      </c>
      <c r="G25" s="15"/>
      <c r="H25" s="15"/>
      <c r="I25" s="15"/>
    </row>
    <row r="26" spans="1:9" ht="26.4" x14ac:dyDescent="0.3">
      <c r="A26" s="11" t="s">
        <v>12</v>
      </c>
      <c r="B26" s="11" t="s">
        <v>33</v>
      </c>
      <c r="C26" s="12" t="s">
        <v>715</v>
      </c>
      <c r="D26" s="13" t="s">
        <v>798</v>
      </c>
      <c r="E26" s="11"/>
      <c r="F26" s="14" t="s">
        <v>37</v>
      </c>
      <c r="G26" s="15"/>
      <c r="H26" s="15"/>
      <c r="I26" s="15"/>
    </row>
    <row r="27" spans="1:9" ht="26.4" x14ac:dyDescent="0.3">
      <c r="A27" s="11" t="s">
        <v>12</v>
      </c>
      <c r="B27" s="11" t="s">
        <v>33</v>
      </c>
      <c r="C27" s="12" t="s">
        <v>715</v>
      </c>
      <c r="D27" s="13" t="s">
        <v>799</v>
      </c>
      <c r="E27" s="11"/>
      <c r="F27" s="14" t="s">
        <v>37</v>
      </c>
      <c r="G27" s="15"/>
      <c r="H27" s="15"/>
      <c r="I27" s="15"/>
    </row>
    <row r="28" spans="1:9" x14ac:dyDescent="0.3">
      <c r="A28" s="11" t="s">
        <v>12</v>
      </c>
      <c r="B28" s="11" t="s">
        <v>33</v>
      </c>
      <c r="C28" s="12" t="s">
        <v>715</v>
      </c>
      <c r="D28" s="13" t="s">
        <v>800</v>
      </c>
      <c r="E28" s="11"/>
      <c r="F28" s="14" t="s">
        <v>37</v>
      </c>
      <c r="G28" s="15"/>
      <c r="H28" s="15"/>
      <c r="I28" s="15"/>
    </row>
    <row r="29" spans="1:9" ht="26.4" x14ac:dyDescent="0.3">
      <c r="A29" s="11" t="s">
        <v>12</v>
      </c>
      <c r="B29" s="11" t="s">
        <v>33</v>
      </c>
      <c r="C29" s="12" t="s">
        <v>715</v>
      </c>
      <c r="D29" s="13" t="s">
        <v>801</v>
      </c>
      <c r="E29" s="11"/>
      <c r="F29" s="14" t="s">
        <v>37</v>
      </c>
      <c r="G29" s="15"/>
      <c r="H29" s="15"/>
      <c r="I29" s="15"/>
    </row>
    <row r="30" spans="1:9" x14ac:dyDescent="0.3">
      <c r="A30" s="11" t="s">
        <v>12</v>
      </c>
      <c r="B30" s="11" t="s">
        <v>33</v>
      </c>
      <c r="C30" s="12" t="s">
        <v>802</v>
      </c>
      <c r="D30" s="13" t="s">
        <v>803</v>
      </c>
      <c r="E30" s="11"/>
      <c r="F30" s="14" t="s">
        <v>37</v>
      </c>
      <c r="G30" s="15"/>
      <c r="H30" s="15"/>
      <c r="I30" s="15"/>
    </row>
    <row r="31" spans="1:9" x14ac:dyDescent="0.3">
      <c r="A31" s="11" t="s">
        <v>12</v>
      </c>
      <c r="B31" s="11" t="s">
        <v>33</v>
      </c>
      <c r="C31" s="12" t="s">
        <v>804</v>
      </c>
      <c r="D31" s="13" t="s">
        <v>805</v>
      </c>
      <c r="E31" s="11"/>
      <c r="F31" s="14" t="s">
        <v>37</v>
      </c>
      <c r="G31" s="15"/>
      <c r="H31" s="15"/>
      <c r="I31" s="15"/>
    </row>
    <row r="32" spans="1:9" x14ac:dyDescent="0.3">
      <c r="A32" s="11" t="s">
        <v>12</v>
      </c>
      <c r="B32" s="11" t="s">
        <v>33</v>
      </c>
      <c r="C32" s="12" t="s">
        <v>806</v>
      </c>
      <c r="D32" s="13" t="s">
        <v>807</v>
      </c>
      <c r="E32" s="11"/>
      <c r="F32" s="14" t="s">
        <v>37</v>
      </c>
      <c r="G32" s="15"/>
      <c r="H32" s="15"/>
      <c r="I32" s="15"/>
    </row>
    <row r="33" spans="1:9" x14ac:dyDescent="0.3">
      <c r="A33" s="11" t="s">
        <v>12</v>
      </c>
      <c r="B33" s="11" t="s">
        <v>33</v>
      </c>
      <c r="C33" s="12" t="s">
        <v>808</v>
      </c>
      <c r="D33" s="13" t="s">
        <v>809</v>
      </c>
      <c r="E33" s="11"/>
      <c r="F33" s="14" t="s">
        <v>37</v>
      </c>
      <c r="G33" s="15"/>
      <c r="H33" s="15"/>
      <c r="I33" s="15"/>
    </row>
    <row r="34" spans="1:9" x14ac:dyDescent="0.3">
      <c r="A34" s="11" t="s">
        <v>12</v>
      </c>
      <c r="B34" s="11" t="s">
        <v>33</v>
      </c>
      <c r="C34" s="12" t="s">
        <v>88</v>
      </c>
      <c r="D34" s="13" t="s">
        <v>810</v>
      </c>
      <c r="E34" s="11"/>
      <c r="F34" s="14" t="s">
        <v>37</v>
      </c>
      <c r="G34" s="15"/>
      <c r="H34" s="15"/>
      <c r="I34" s="15"/>
    </row>
    <row r="35" spans="1:9" ht="26.4" x14ac:dyDescent="0.3">
      <c r="A35" s="11" t="s">
        <v>12</v>
      </c>
      <c r="B35" s="11" t="s">
        <v>33</v>
      </c>
      <c r="C35" s="12" t="s">
        <v>811</v>
      </c>
      <c r="D35" s="13" t="s">
        <v>812</v>
      </c>
      <c r="E35" s="11"/>
      <c r="F35" s="14" t="s">
        <v>37</v>
      </c>
      <c r="G35" s="15"/>
      <c r="H35" s="15"/>
      <c r="I35" s="15"/>
    </row>
    <row r="36" spans="1:9" x14ac:dyDescent="0.3">
      <c r="A36" s="11" t="s">
        <v>12</v>
      </c>
      <c r="B36" s="11" t="s">
        <v>33</v>
      </c>
      <c r="C36" s="12" t="s">
        <v>813</v>
      </c>
      <c r="D36" s="13" t="s">
        <v>814</v>
      </c>
      <c r="E36" s="11"/>
      <c r="F36" s="14" t="s">
        <v>37</v>
      </c>
      <c r="G36" s="15"/>
      <c r="H36" s="15"/>
      <c r="I36" s="15"/>
    </row>
    <row r="37" spans="1:9" ht="26.4" x14ac:dyDescent="0.3">
      <c r="A37" s="11" t="s">
        <v>12</v>
      </c>
      <c r="B37" s="11" t="s">
        <v>33</v>
      </c>
      <c r="C37" s="12" t="s">
        <v>97</v>
      </c>
      <c r="D37" s="13" t="s">
        <v>815</v>
      </c>
      <c r="E37" s="11"/>
      <c r="F37" s="14" t="s">
        <v>37</v>
      </c>
      <c r="G37" s="15"/>
      <c r="H37" s="15"/>
      <c r="I37" s="15"/>
    </row>
    <row r="38" spans="1:9" x14ac:dyDescent="0.3">
      <c r="A38" s="11" t="s">
        <v>12</v>
      </c>
      <c r="B38" s="11" t="s">
        <v>33</v>
      </c>
      <c r="C38" s="12" t="s">
        <v>816</v>
      </c>
      <c r="D38" s="13" t="s">
        <v>817</v>
      </c>
      <c r="E38" s="11"/>
      <c r="F38" s="14" t="s">
        <v>37</v>
      </c>
      <c r="G38" s="15"/>
      <c r="H38" s="15"/>
      <c r="I38" s="15"/>
    </row>
    <row r="39" spans="1:9" x14ac:dyDescent="0.3">
      <c r="A39" s="11" t="s">
        <v>12</v>
      </c>
      <c r="B39" s="11" t="s">
        <v>33</v>
      </c>
      <c r="C39" s="12" t="s">
        <v>818</v>
      </c>
      <c r="D39" s="13" t="s">
        <v>819</v>
      </c>
      <c r="E39" s="11"/>
      <c r="F39" s="14" t="s">
        <v>37</v>
      </c>
      <c r="G39" s="15"/>
      <c r="H39" s="15"/>
      <c r="I39" s="15"/>
    </row>
    <row r="40" spans="1:9" ht="26.4" x14ac:dyDescent="0.3">
      <c r="A40" s="11" t="s">
        <v>12</v>
      </c>
      <c r="B40" s="11" t="s">
        <v>33</v>
      </c>
      <c r="C40" s="12" t="s">
        <v>820</v>
      </c>
      <c r="D40" s="13" t="s">
        <v>821</v>
      </c>
      <c r="E40" s="11"/>
      <c r="F40" s="14" t="s">
        <v>37</v>
      </c>
      <c r="G40" s="15"/>
      <c r="H40" s="15"/>
      <c r="I40" s="15"/>
    </row>
    <row r="41" spans="1:9" x14ac:dyDescent="0.3">
      <c r="A41" s="11" t="s">
        <v>12</v>
      </c>
      <c r="B41" s="11" t="s">
        <v>33</v>
      </c>
      <c r="C41" s="12" t="s">
        <v>822</v>
      </c>
      <c r="D41" s="13" t="s">
        <v>823</v>
      </c>
      <c r="E41" s="11"/>
      <c r="F41" s="14" t="s">
        <v>37</v>
      </c>
      <c r="G41" s="15"/>
      <c r="H41" s="15"/>
      <c r="I41" s="15"/>
    </row>
    <row r="42" spans="1:9" ht="26.4" x14ac:dyDescent="0.3">
      <c r="A42" s="11" t="s">
        <v>12</v>
      </c>
      <c r="B42" s="11" t="s">
        <v>33</v>
      </c>
      <c r="C42" s="12" t="s">
        <v>824</v>
      </c>
      <c r="D42" s="13" t="s">
        <v>825</v>
      </c>
      <c r="E42" s="11"/>
      <c r="F42" s="14" t="s">
        <v>37</v>
      </c>
      <c r="G42" s="15"/>
      <c r="H42" s="15"/>
      <c r="I42" s="15"/>
    </row>
    <row r="43" spans="1:9" ht="26.4" x14ac:dyDescent="0.3">
      <c r="A43" s="11" t="s">
        <v>12</v>
      </c>
      <c r="B43" s="11" t="s">
        <v>33</v>
      </c>
      <c r="C43" s="12" t="s">
        <v>824</v>
      </c>
      <c r="D43" s="13" t="s">
        <v>826</v>
      </c>
      <c r="E43" s="11"/>
      <c r="F43" s="14" t="s">
        <v>37</v>
      </c>
      <c r="G43" s="15"/>
      <c r="H43" s="15"/>
      <c r="I43" s="15"/>
    </row>
    <row r="44" spans="1:9" x14ac:dyDescent="0.3">
      <c r="A44" s="11" t="s">
        <v>12</v>
      </c>
      <c r="B44" s="11" t="s">
        <v>33</v>
      </c>
      <c r="C44" s="12" t="s">
        <v>827</v>
      </c>
      <c r="D44" s="13" t="s">
        <v>828</v>
      </c>
      <c r="E44" s="11"/>
      <c r="F44" s="14" t="s">
        <v>37</v>
      </c>
      <c r="G44" s="15"/>
      <c r="H44" s="15"/>
      <c r="I44" s="15"/>
    </row>
    <row r="45" spans="1:9" x14ac:dyDescent="0.3">
      <c r="A45" s="11" t="s">
        <v>12</v>
      </c>
      <c r="B45" s="11" t="s">
        <v>33</v>
      </c>
      <c r="C45" s="12" t="s">
        <v>829</v>
      </c>
      <c r="D45" s="13" t="s">
        <v>830</v>
      </c>
      <c r="E45" s="11"/>
      <c r="F45" s="14" t="s">
        <v>37</v>
      </c>
      <c r="G45" s="15"/>
      <c r="H45" s="15"/>
      <c r="I45" s="15"/>
    </row>
    <row r="46" spans="1:9" ht="26.4" x14ac:dyDescent="0.3">
      <c r="A46" s="11" t="s">
        <v>12</v>
      </c>
      <c r="B46" s="11" t="s">
        <v>33</v>
      </c>
      <c r="C46" s="12" t="s">
        <v>156</v>
      </c>
      <c r="D46" s="13" t="s">
        <v>831</v>
      </c>
      <c r="E46" s="11"/>
      <c r="F46" s="14" t="s">
        <v>37</v>
      </c>
      <c r="G46" s="15"/>
      <c r="H46" s="15"/>
      <c r="I46" s="15"/>
    </row>
    <row r="47" spans="1:9" x14ac:dyDescent="0.3">
      <c r="A47" s="11" t="s">
        <v>12</v>
      </c>
      <c r="B47" s="11" t="s">
        <v>33</v>
      </c>
      <c r="C47" s="12" t="s">
        <v>832</v>
      </c>
      <c r="D47" s="13" t="s">
        <v>833</v>
      </c>
      <c r="E47" s="11"/>
      <c r="F47" s="14" t="s">
        <v>37</v>
      </c>
      <c r="G47" s="15"/>
      <c r="H47" s="15"/>
      <c r="I47" s="15"/>
    </row>
    <row r="48" spans="1:9" x14ac:dyDescent="0.3">
      <c r="A48" s="11" t="s">
        <v>12</v>
      </c>
      <c r="B48" s="11" t="s">
        <v>33</v>
      </c>
      <c r="C48" s="12" t="s">
        <v>834</v>
      </c>
      <c r="D48" s="13" t="s">
        <v>835</v>
      </c>
      <c r="E48" s="11"/>
      <c r="F48" s="14" t="s">
        <v>37</v>
      </c>
      <c r="G48" s="15"/>
      <c r="H48" s="15"/>
      <c r="I48" s="15"/>
    </row>
    <row r="49" spans="1:9" ht="26.4" x14ac:dyDescent="0.3">
      <c r="A49" s="11" t="s">
        <v>12</v>
      </c>
      <c r="B49" s="11" t="s">
        <v>33</v>
      </c>
      <c r="C49" s="12" t="s">
        <v>836</v>
      </c>
      <c r="D49" s="13" t="s">
        <v>837</v>
      </c>
      <c r="E49" s="11"/>
      <c r="F49" s="14" t="s">
        <v>37</v>
      </c>
      <c r="G49" s="15"/>
      <c r="H49" s="15"/>
      <c r="I49" s="15"/>
    </row>
    <row r="50" spans="1:9" ht="26.4" x14ac:dyDescent="0.3">
      <c r="A50" s="11" t="s">
        <v>12</v>
      </c>
      <c r="B50" s="11" t="s">
        <v>33</v>
      </c>
      <c r="C50" s="12" t="s">
        <v>838</v>
      </c>
      <c r="D50" s="13" t="s">
        <v>839</v>
      </c>
      <c r="E50" s="11"/>
      <c r="F50" s="14" t="s">
        <v>37</v>
      </c>
      <c r="G50" s="15"/>
      <c r="H50" s="15"/>
      <c r="I50" s="15"/>
    </row>
    <row r="51" spans="1:9" x14ac:dyDescent="0.3">
      <c r="A51" s="11" t="s">
        <v>12</v>
      </c>
      <c r="B51" s="11" t="s">
        <v>33</v>
      </c>
      <c r="C51" s="12" t="s">
        <v>840</v>
      </c>
      <c r="D51" s="13" t="s">
        <v>841</v>
      </c>
      <c r="E51" s="11"/>
      <c r="F51" s="14" t="s">
        <v>37</v>
      </c>
      <c r="G51" s="15"/>
      <c r="H51" s="15"/>
      <c r="I51" s="15"/>
    </row>
    <row r="52" spans="1:9" x14ac:dyDescent="0.3">
      <c r="A52" s="11" t="s">
        <v>12</v>
      </c>
      <c r="B52" s="11" t="s">
        <v>33</v>
      </c>
      <c r="C52" s="12" t="s">
        <v>842</v>
      </c>
      <c r="D52" s="13" t="s">
        <v>843</v>
      </c>
      <c r="E52" s="11"/>
      <c r="F52" s="14" t="s">
        <v>37</v>
      </c>
      <c r="G52" s="15"/>
      <c r="H52" s="15"/>
      <c r="I52" s="15"/>
    </row>
    <row r="53" spans="1:9" x14ac:dyDescent="0.3">
      <c r="A53" s="11" t="s">
        <v>12</v>
      </c>
      <c r="B53" s="11" t="s">
        <v>33</v>
      </c>
      <c r="C53" s="12" t="s">
        <v>844</v>
      </c>
      <c r="D53" s="13" t="s">
        <v>845</v>
      </c>
      <c r="E53" s="11"/>
      <c r="F53" s="14" t="s">
        <v>37</v>
      </c>
      <c r="G53" s="15"/>
      <c r="H53" s="15"/>
      <c r="I53" s="15"/>
    </row>
    <row r="54" spans="1:9" ht="26.4" x14ac:dyDescent="0.3">
      <c r="A54" s="11" t="s">
        <v>12</v>
      </c>
      <c r="B54" s="11" t="s">
        <v>33</v>
      </c>
      <c r="C54" s="12" t="s">
        <v>846</v>
      </c>
      <c r="D54" s="13" t="s">
        <v>847</v>
      </c>
      <c r="E54" s="11"/>
      <c r="F54" s="14" t="s">
        <v>37</v>
      </c>
      <c r="G54" s="15"/>
      <c r="H54" s="15"/>
      <c r="I54" s="15"/>
    </row>
    <row r="55" spans="1:9" ht="26.4" x14ac:dyDescent="0.3">
      <c r="A55" s="11" t="s">
        <v>12</v>
      </c>
      <c r="B55" s="11" t="s">
        <v>33</v>
      </c>
      <c r="C55" s="12" t="s">
        <v>848</v>
      </c>
      <c r="D55" s="13" t="s">
        <v>849</v>
      </c>
      <c r="E55" s="11"/>
      <c r="F55" s="14" t="s">
        <v>37</v>
      </c>
      <c r="G55" s="15"/>
      <c r="H55" s="15"/>
      <c r="I55" s="15"/>
    </row>
    <row r="56" spans="1:9" ht="26.4" x14ac:dyDescent="0.3">
      <c r="A56" s="11" t="s">
        <v>12</v>
      </c>
      <c r="B56" s="11" t="s">
        <v>33</v>
      </c>
      <c r="C56" s="12" t="s">
        <v>848</v>
      </c>
      <c r="D56" s="13" t="s">
        <v>850</v>
      </c>
      <c r="E56" s="11"/>
      <c r="F56" s="14" t="s">
        <v>37</v>
      </c>
      <c r="G56" s="15"/>
      <c r="H56" s="15"/>
      <c r="I56" s="15"/>
    </row>
    <row r="57" spans="1:9" x14ac:dyDescent="0.3">
      <c r="A57" s="11" t="s">
        <v>12</v>
      </c>
      <c r="B57" s="11" t="s">
        <v>33</v>
      </c>
      <c r="C57" s="12" t="s">
        <v>851</v>
      </c>
      <c r="D57" s="13" t="s">
        <v>852</v>
      </c>
      <c r="E57" s="11"/>
      <c r="F57" s="14" t="s">
        <v>37</v>
      </c>
      <c r="G57" s="15"/>
      <c r="H57" s="15"/>
      <c r="I57" s="15"/>
    </row>
    <row r="58" spans="1:9" x14ac:dyDescent="0.3">
      <c r="A58" s="11" t="s">
        <v>12</v>
      </c>
      <c r="B58" s="11" t="s">
        <v>33</v>
      </c>
      <c r="C58" s="12" t="s">
        <v>853</v>
      </c>
      <c r="D58" s="13" t="s">
        <v>854</v>
      </c>
      <c r="E58" s="11"/>
      <c r="F58" s="14" t="s">
        <v>37</v>
      </c>
      <c r="G58" s="15"/>
      <c r="H58" s="15"/>
      <c r="I58" s="15"/>
    </row>
    <row r="59" spans="1:9" ht="26.4" x14ac:dyDescent="0.3">
      <c r="A59" s="11" t="s">
        <v>12</v>
      </c>
      <c r="B59" s="11" t="s">
        <v>33</v>
      </c>
      <c r="C59" s="12" t="s">
        <v>855</v>
      </c>
      <c r="D59" s="13" t="s">
        <v>856</v>
      </c>
      <c r="E59" s="11"/>
      <c r="F59" s="14" t="s">
        <v>37</v>
      </c>
      <c r="G59" s="15"/>
      <c r="H59" s="15"/>
      <c r="I59" s="15"/>
    </row>
    <row r="60" spans="1:9" x14ac:dyDescent="0.3">
      <c r="A60" s="11" t="s">
        <v>12</v>
      </c>
      <c r="B60" s="11" t="s">
        <v>33</v>
      </c>
      <c r="C60" s="12" t="s">
        <v>857</v>
      </c>
      <c r="D60" s="13" t="s">
        <v>858</v>
      </c>
      <c r="E60" s="11"/>
      <c r="F60" s="14" t="s">
        <v>37</v>
      </c>
      <c r="G60" s="15"/>
      <c r="H60" s="15"/>
      <c r="I60" s="15"/>
    </row>
    <row r="61" spans="1:9" x14ac:dyDescent="0.3">
      <c r="A61" s="11" t="s">
        <v>12</v>
      </c>
      <c r="B61" s="11" t="s">
        <v>33</v>
      </c>
      <c r="C61" s="12" t="s">
        <v>356</v>
      </c>
      <c r="D61" s="13" t="s">
        <v>859</v>
      </c>
      <c r="E61" s="11"/>
      <c r="F61" s="14" t="s">
        <v>37</v>
      </c>
      <c r="G61" s="15"/>
      <c r="H61" s="15"/>
      <c r="I61" s="15"/>
    </row>
    <row r="62" spans="1:9" ht="26.4" x14ac:dyDescent="0.3">
      <c r="A62" s="11" t="s">
        <v>12</v>
      </c>
      <c r="B62" s="11" t="s">
        <v>33</v>
      </c>
      <c r="C62" s="12" t="s">
        <v>860</v>
      </c>
      <c r="D62" s="13" t="s">
        <v>861</v>
      </c>
      <c r="E62" s="11"/>
      <c r="F62" s="14" t="s">
        <v>37</v>
      </c>
      <c r="G62" s="15"/>
      <c r="H62" s="15"/>
      <c r="I62" s="15"/>
    </row>
    <row r="63" spans="1:9" x14ac:dyDescent="0.3">
      <c r="A63" s="11" t="s">
        <v>12</v>
      </c>
      <c r="B63" s="11" t="s">
        <v>33</v>
      </c>
      <c r="C63" s="12" t="s">
        <v>862</v>
      </c>
      <c r="D63" s="13" t="s">
        <v>863</v>
      </c>
      <c r="E63" s="11"/>
      <c r="F63" s="14" t="s">
        <v>37</v>
      </c>
      <c r="G63" s="15"/>
      <c r="H63" s="15"/>
      <c r="I63" s="15"/>
    </row>
    <row r="64" spans="1:9" x14ac:dyDescent="0.3">
      <c r="A64" s="11" t="s">
        <v>12</v>
      </c>
      <c r="B64" s="11" t="s">
        <v>33</v>
      </c>
      <c r="C64" s="12" t="s">
        <v>864</v>
      </c>
      <c r="D64" s="13" t="s">
        <v>865</v>
      </c>
      <c r="E64" s="11"/>
      <c r="F64" s="14" t="s">
        <v>37</v>
      </c>
      <c r="G64" s="15"/>
      <c r="H64" s="15"/>
      <c r="I64" s="15"/>
    </row>
    <row r="65" spans="1:9" x14ac:dyDescent="0.3">
      <c r="A65" s="11" t="s">
        <v>12</v>
      </c>
      <c r="B65" s="11" t="s">
        <v>33</v>
      </c>
      <c r="C65" s="12" t="s">
        <v>866</v>
      </c>
      <c r="D65" s="13" t="s">
        <v>867</v>
      </c>
      <c r="E65" s="11"/>
      <c r="F65" s="14" t="s">
        <v>37</v>
      </c>
      <c r="G65" s="15"/>
      <c r="H65" s="15"/>
      <c r="I65" s="15"/>
    </row>
    <row r="66" spans="1:9" x14ac:dyDescent="0.3">
      <c r="A66" s="11" t="s">
        <v>12</v>
      </c>
      <c r="B66" s="11" t="s">
        <v>33</v>
      </c>
      <c r="C66" s="12" t="s">
        <v>868</v>
      </c>
      <c r="D66" s="13" t="s">
        <v>869</v>
      </c>
      <c r="E66" s="11"/>
      <c r="F66" s="14" t="s">
        <v>37</v>
      </c>
      <c r="G66" s="15"/>
      <c r="H66" s="15"/>
      <c r="I66" s="15"/>
    </row>
    <row r="67" spans="1:9" x14ac:dyDescent="0.3">
      <c r="A67" s="11" t="s">
        <v>12</v>
      </c>
      <c r="B67" s="11" t="s">
        <v>33</v>
      </c>
      <c r="C67" s="12" t="s">
        <v>870</v>
      </c>
      <c r="D67" s="13" t="s">
        <v>871</v>
      </c>
      <c r="E67" s="11"/>
      <c r="F67" s="14" t="s">
        <v>37</v>
      </c>
      <c r="G67" s="15"/>
      <c r="H67" s="15"/>
      <c r="I67" s="15"/>
    </row>
    <row r="68" spans="1:9" ht="26.4" x14ac:dyDescent="0.3">
      <c r="A68" s="11" t="s">
        <v>12</v>
      </c>
      <c r="B68" s="11" t="s">
        <v>33</v>
      </c>
      <c r="C68" s="12" t="s">
        <v>872</v>
      </c>
      <c r="D68" s="13" t="s">
        <v>873</v>
      </c>
      <c r="E68" s="11"/>
      <c r="F68" s="14" t="s">
        <v>37</v>
      </c>
      <c r="G68" s="15"/>
      <c r="H68" s="15"/>
      <c r="I68" s="15"/>
    </row>
    <row r="69" spans="1:9" ht="26.4" x14ac:dyDescent="0.3">
      <c r="A69" s="11" t="s">
        <v>12</v>
      </c>
      <c r="B69" s="11" t="s">
        <v>33</v>
      </c>
      <c r="C69" s="12" t="s">
        <v>874</v>
      </c>
      <c r="D69" s="13" t="s">
        <v>875</v>
      </c>
      <c r="E69" s="11"/>
      <c r="F69" s="14" t="s">
        <v>37</v>
      </c>
      <c r="G69" s="15"/>
      <c r="H69" s="15"/>
      <c r="I69" s="15"/>
    </row>
    <row r="70" spans="1:9" ht="26.4" x14ac:dyDescent="0.3">
      <c r="A70" s="11" t="s">
        <v>12</v>
      </c>
      <c r="B70" s="11" t="s">
        <v>33</v>
      </c>
      <c r="C70" s="12" t="s">
        <v>876</v>
      </c>
      <c r="D70" s="13" t="s">
        <v>877</v>
      </c>
      <c r="E70" s="11"/>
      <c r="F70" s="14" t="s">
        <v>37</v>
      </c>
      <c r="G70" s="15"/>
      <c r="H70" s="15"/>
      <c r="I70" s="15"/>
    </row>
    <row r="71" spans="1:9" ht="26.4" x14ac:dyDescent="0.3">
      <c r="A71" s="11" t="s">
        <v>12</v>
      </c>
      <c r="B71" s="11" t="s">
        <v>33</v>
      </c>
      <c r="C71" s="12" t="s">
        <v>878</v>
      </c>
      <c r="D71" s="13" t="s">
        <v>879</v>
      </c>
      <c r="E71" s="11"/>
      <c r="F71" s="14" t="s">
        <v>37</v>
      </c>
      <c r="G71" s="15"/>
      <c r="H71" s="15"/>
      <c r="I71" s="15"/>
    </row>
    <row r="72" spans="1:9" x14ac:dyDescent="0.3">
      <c r="A72" s="11" t="s">
        <v>12</v>
      </c>
      <c r="B72" s="11" t="s">
        <v>33</v>
      </c>
      <c r="C72" s="12" t="s">
        <v>880</v>
      </c>
      <c r="D72" s="13" t="s">
        <v>881</v>
      </c>
      <c r="E72" s="11"/>
      <c r="F72" s="14" t="s">
        <v>37</v>
      </c>
      <c r="G72" s="15"/>
      <c r="H72" s="15"/>
      <c r="I72" s="15"/>
    </row>
    <row r="73" spans="1:9" x14ac:dyDescent="0.3">
      <c r="A73" s="11" t="s">
        <v>12</v>
      </c>
      <c r="B73" s="11" t="s">
        <v>33</v>
      </c>
      <c r="C73" s="12" t="s">
        <v>585</v>
      </c>
      <c r="D73" s="13" t="s">
        <v>882</v>
      </c>
      <c r="E73" s="11"/>
      <c r="F73" s="14" t="s">
        <v>37</v>
      </c>
      <c r="G73" s="15"/>
      <c r="H73" s="15"/>
      <c r="I73" s="15"/>
    </row>
    <row r="74" spans="1:9" ht="26.4" x14ac:dyDescent="0.3">
      <c r="A74" s="11" t="s">
        <v>12</v>
      </c>
      <c r="B74" s="11" t="s">
        <v>33</v>
      </c>
      <c r="C74" s="12" t="s">
        <v>883</v>
      </c>
      <c r="D74" s="13" t="s">
        <v>884</v>
      </c>
      <c r="E74" s="11" t="s">
        <v>885</v>
      </c>
      <c r="F74" s="14" t="s">
        <v>37</v>
      </c>
      <c r="G74" s="15"/>
      <c r="H74" s="15"/>
      <c r="I74" s="15"/>
    </row>
    <row r="75" spans="1:9" ht="26.4" x14ac:dyDescent="0.3">
      <c r="A75" s="11" t="s">
        <v>12</v>
      </c>
      <c r="B75" s="11" t="s">
        <v>33</v>
      </c>
      <c r="C75" s="12" t="s">
        <v>886</v>
      </c>
      <c r="D75" s="13" t="s">
        <v>887</v>
      </c>
      <c r="E75" s="11"/>
      <c r="F75" s="14" t="s">
        <v>37</v>
      </c>
      <c r="G75" s="15"/>
      <c r="H75" s="15"/>
      <c r="I75" s="15"/>
    </row>
    <row r="76" spans="1:9" ht="26.4" x14ac:dyDescent="0.3">
      <c r="A76" s="11" t="s">
        <v>13</v>
      </c>
      <c r="B76" s="11" t="s">
        <v>276</v>
      </c>
      <c r="C76" s="12" t="s">
        <v>888</v>
      </c>
      <c r="D76" s="13" t="s">
        <v>889</v>
      </c>
      <c r="E76" s="11" t="s">
        <v>890</v>
      </c>
      <c r="F76" s="14" t="s">
        <v>37</v>
      </c>
      <c r="G76" s="15"/>
      <c r="H76" s="15"/>
      <c r="I76" s="15"/>
    </row>
    <row r="77" spans="1:9" ht="26.4" x14ac:dyDescent="0.3">
      <c r="A77" s="11" t="s">
        <v>13</v>
      </c>
      <c r="B77" s="11" t="s">
        <v>276</v>
      </c>
      <c r="C77" s="12" t="s">
        <v>891</v>
      </c>
      <c r="D77" s="13" t="s">
        <v>892</v>
      </c>
      <c r="E77" s="11"/>
      <c r="F77" s="14" t="s">
        <v>37</v>
      </c>
      <c r="G77" s="15"/>
      <c r="H77" s="15"/>
      <c r="I77" s="15"/>
    </row>
    <row r="78" spans="1:9" x14ac:dyDescent="0.3">
      <c r="A78" s="11" t="s">
        <v>13</v>
      </c>
      <c r="B78" s="11" t="s">
        <v>276</v>
      </c>
      <c r="C78" s="12" t="s">
        <v>893</v>
      </c>
      <c r="D78" s="13" t="s">
        <v>894</v>
      </c>
      <c r="E78" s="11" t="s">
        <v>895</v>
      </c>
      <c r="F78" s="14" t="s">
        <v>37</v>
      </c>
      <c r="G78" s="15"/>
      <c r="H78" s="15"/>
      <c r="I78" s="15"/>
    </row>
    <row r="79" spans="1:9" ht="26.4" x14ac:dyDescent="0.3">
      <c r="A79" s="11" t="s">
        <v>13</v>
      </c>
      <c r="B79" s="11" t="s">
        <v>276</v>
      </c>
      <c r="C79" s="12" t="s">
        <v>896</v>
      </c>
      <c r="D79" s="13" t="s">
        <v>897</v>
      </c>
      <c r="E79" s="11"/>
      <c r="F79" s="14" t="s">
        <v>37</v>
      </c>
      <c r="G79" s="15"/>
      <c r="H79" s="15"/>
      <c r="I79" s="15"/>
    </row>
    <row r="80" spans="1:9" ht="26.4" x14ac:dyDescent="0.3">
      <c r="A80" s="11" t="s">
        <v>13</v>
      </c>
      <c r="B80" s="11" t="s">
        <v>276</v>
      </c>
      <c r="C80" s="12" t="s">
        <v>898</v>
      </c>
      <c r="D80" s="13" t="s">
        <v>899</v>
      </c>
      <c r="E80" s="11" t="s">
        <v>900</v>
      </c>
      <c r="F80" s="14" t="s">
        <v>37</v>
      </c>
      <c r="G80" s="15"/>
      <c r="H80" s="15"/>
      <c r="I80" s="15"/>
    </row>
    <row r="81" spans="1:9" x14ac:dyDescent="0.3">
      <c r="A81" s="11" t="s">
        <v>13</v>
      </c>
      <c r="B81" s="11" t="s">
        <v>276</v>
      </c>
      <c r="C81" s="12" t="s">
        <v>620</v>
      </c>
      <c r="D81" s="13" t="s">
        <v>901</v>
      </c>
      <c r="E81" s="11"/>
      <c r="F81" s="14" t="s">
        <v>37</v>
      </c>
      <c r="G81" s="15"/>
      <c r="H81" s="15"/>
      <c r="I81" s="15"/>
    </row>
    <row r="82" spans="1:9" x14ac:dyDescent="0.3">
      <c r="A82" s="11" t="s">
        <v>13</v>
      </c>
      <c r="B82" s="11" t="s">
        <v>276</v>
      </c>
      <c r="C82" s="12" t="s">
        <v>902</v>
      </c>
      <c r="D82" s="13" t="s">
        <v>903</v>
      </c>
      <c r="E82" s="11"/>
      <c r="F82" s="14" t="s">
        <v>37</v>
      </c>
      <c r="G82" s="15"/>
      <c r="H82" s="15"/>
      <c r="I82" s="15"/>
    </row>
    <row r="83" spans="1:9" x14ac:dyDescent="0.3">
      <c r="A83" s="11" t="s">
        <v>13</v>
      </c>
      <c r="B83" s="11" t="s">
        <v>276</v>
      </c>
      <c r="C83" s="12" t="s">
        <v>715</v>
      </c>
      <c r="D83" s="13" t="s">
        <v>904</v>
      </c>
      <c r="E83" s="11"/>
      <c r="F83" s="14" t="s">
        <v>37</v>
      </c>
      <c r="G83" s="15"/>
      <c r="H83" s="15"/>
      <c r="I83" s="15"/>
    </row>
    <row r="84" spans="1:9" x14ac:dyDescent="0.3">
      <c r="A84" s="11" t="s">
        <v>13</v>
      </c>
      <c r="B84" s="11" t="s">
        <v>276</v>
      </c>
      <c r="C84" s="12" t="s">
        <v>297</v>
      </c>
      <c r="D84" s="13" t="s">
        <v>905</v>
      </c>
      <c r="E84" s="11"/>
      <c r="F84" s="14" t="s">
        <v>37</v>
      </c>
      <c r="G84" s="15"/>
      <c r="H84" s="15"/>
      <c r="I84" s="15"/>
    </row>
    <row r="85" spans="1:9" x14ac:dyDescent="0.3">
      <c r="A85" s="11" t="s">
        <v>13</v>
      </c>
      <c r="B85" s="11" t="s">
        <v>276</v>
      </c>
      <c r="C85" s="12" t="s">
        <v>906</v>
      </c>
      <c r="D85" s="13" t="s">
        <v>907</v>
      </c>
      <c r="E85" s="11"/>
      <c r="F85" s="14" t="s">
        <v>37</v>
      </c>
      <c r="G85" s="15"/>
      <c r="H85" s="15"/>
      <c r="I85" s="15"/>
    </row>
    <row r="86" spans="1:9" x14ac:dyDescent="0.3">
      <c r="A86" s="11" t="s">
        <v>13</v>
      </c>
      <c r="B86" s="11" t="s">
        <v>276</v>
      </c>
      <c r="C86" s="12" t="s">
        <v>908</v>
      </c>
      <c r="D86" s="13" t="s">
        <v>909</v>
      </c>
      <c r="E86" s="11"/>
      <c r="F86" s="14" t="s">
        <v>37</v>
      </c>
      <c r="G86" s="15"/>
      <c r="H86" s="15"/>
      <c r="I86" s="15"/>
    </row>
    <row r="87" spans="1:9" x14ac:dyDescent="0.3">
      <c r="A87" s="11" t="s">
        <v>13</v>
      </c>
      <c r="B87" s="11" t="s">
        <v>276</v>
      </c>
      <c r="C87" s="12" t="s">
        <v>910</v>
      </c>
      <c r="D87" s="13" t="s">
        <v>911</v>
      </c>
      <c r="E87" s="11"/>
      <c r="F87" s="14" t="s">
        <v>37</v>
      </c>
      <c r="G87" s="15"/>
      <c r="H87" s="15"/>
      <c r="I87" s="15"/>
    </row>
    <row r="88" spans="1:9" x14ac:dyDescent="0.3">
      <c r="A88" s="11" t="s">
        <v>13</v>
      </c>
      <c r="B88" s="11" t="s">
        <v>276</v>
      </c>
      <c r="C88" s="12" t="s">
        <v>912</v>
      </c>
      <c r="D88" s="13" t="s">
        <v>913</v>
      </c>
      <c r="E88" s="11"/>
      <c r="F88" s="14" t="s">
        <v>37</v>
      </c>
      <c r="G88" s="15"/>
      <c r="H88" s="15"/>
      <c r="I88" s="15"/>
    </row>
    <row r="89" spans="1:9" ht="26.4" x14ac:dyDescent="0.3">
      <c r="A89" s="11" t="s">
        <v>13</v>
      </c>
      <c r="B89" s="11" t="s">
        <v>276</v>
      </c>
      <c r="C89" s="12" t="s">
        <v>178</v>
      </c>
      <c r="D89" s="13" t="s">
        <v>914</v>
      </c>
      <c r="E89" s="11"/>
      <c r="F89" s="14" t="s">
        <v>37</v>
      </c>
      <c r="G89" s="15"/>
      <c r="H89" s="15"/>
      <c r="I89" s="15"/>
    </row>
    <row r="90" spans="1:9" ht="26.4" x14ac:dyDescent="0.3">
      <c r="A90" s="11" t="s">
        <v>13</v>
      </c>
      <c r="B90" s="11" t="s">
        <v>276</v>
      </c>
      <c r="C90" s="12" t="s">
        <v>915</v>
      </c>
      <c r="D90" s="13" t="s">
        <v>916</v>
      </c>
      <c r="E90" s="11"/>
      <c r="F90" s="14" t="s">
        <v>37</v>
      </c>
      <c r="G90" s="15"/>
      <c r="H90" s="15"/>
      <c r="I90" s="15"/>
    </row>
    <row r="91" spans="1:9" x14ac:dyDescent="0.3">
      <c r="A91" s="11" t="s">
        <v>13</v>
      </c>
      <c r="B91" s="11" t="s">
        <v>276</v>
      </c>
      <c r="C91" s="12" t="s">
        <v>917</v>
      </c>
      <c r="D91" s="13" t="s">
        <v>918</v>
      </c>
      <c r="E91" s="11" t="s">
        <v>919</v>
      </c>
      <c r="F91" s="14" t="s">
        <v>37</v>
      </c>
      <c r="G91" s="15"/>
      <c r="H91" s="15"/>
      <c r="I91" s="15"/>
    </row>
    <row r="92" spans="1:9" x14ac:dyDescent="0.3">
      <c r="A92" s="11" t="s">
        <v>13</v>
      </c>
      <c r="B92" s="11" t="s">
        <v>276</v>
      </c>
      <c r="C92" s="12" t="s">
        <v>920</v>
      </c>
      <c r="D92" s="13" t="s">
        <v>921</v>
      </c>
      <c r="E92" s="11"/>
      <c r="F92" s="14" t="s">
        <v>37</v>
      </c>
      <c r="G92" s="15"/>
      <c r="H92" s="15"/>
      <c r="I92" s="15"/>
    </row>
    <row r="93" spans="1:9" x14ac:dyDescent="0.3">
      <c r="A93" s="11" t="s">
        <v>13</v>
      </c>
      <c r="B93" s="11" t="s">
        <v>276</v>
      </c>
      <c r="C93" s="12" t="s">
        <v>922</v>
      </c>
      <c r="D93" s="13" t="s">
        <v>923</v>
      </c>
      <c r="E93" s="11"/>
      <c r="F93" s="14" t="s">
        <v>37</v>
      </c>
      <c r="G93" s="15"/>
      <c r="H93" s="15"/>
      <c r="I93" s="15"/>
    </row>
    <row r="94" spans="1:9" x14ac:dyDescent="0.3">
      <c r="A94" s="11" t="s">
        <v>13</v>
      </c>
      <c r="B94" s="11" t="s">
        <v>276</v>
      </c>
      <c r="C94" s="12" t="s">
        <v>924</v>
      </c>
      <c r="D94" s="13" t="s">
        <v>925</v>
      </c>
      <c r="E94" s="11"/>
      <c r="F94" s="14" t="s">
        <v>37</v>
      </c>
      <c r="G94" s="15"/>
      <c r="H94" s="15"/>
      <c r="I94" s="15"/>
    </row>
    <row r="95" spans="1:9" x14ac:dyDescent="0.3">
      <c r="A95" s="11" t="s">
        <v>13</v>
      </c>
      <c r="B95" s="11" t="s">
        <v>276</v>
      </c>
      <c r="C95" s="12" t="s">
        <v>924</v>
      </c>
      <c r="D95" s="13" t="s">
        <v>926</v>
      </c>
      <c r="E95" s="11"/>
      <c r="F95" s="14" t="s">
        <v>37</v>
      </c>
      <c r="G95" s="15"/>
      <c r="H95" s="15"/>
      <c r="I95" s="15"/>
    </row>
    <row r="96" spans="1:9" x14ac:dyDescent="0.3">
      <c r="A96" s="11" t="s">
        <v>13</v>
      </c>
      <c r="B96" s="11" t="s">
        <v>276</v>
      </c>
      <c r="C96" s="12" t="s">
        <v>927</v>
      </c>
      <c r="D96" s="13" t="s">
        <v>928</v>
      </c>
      <c r="E96" s="11"/>
      <c r="F96" s="14" t="s">
        <v>37</v>
      </c>
      <c r="G96" s="15"/>
      <c r="H96" s="15"/>
      <c r="I96" s="15"/>
    </row>
    <row r="97" spans="1:9" x14ac:dyDescent="0.3">
      <c r="A97" s="11" t="s">
        <v>13</v>
      </c>
      <c r="B97" s="11" t="s">
        <v>276</v>
      </c>
      <c r="C97" s="12" t="s">
        <v>585</v>
      </c>
      <c r="D97" s="13" t="s">
        <v>929</v>
      </c>
      <c r="E97" s="11" t="s">
        <v>588</v>
      </c>
      <c r="F97" s="14" t="s">
        <v>37</v>
      </c>
      <c r="G97" s="15"/>
      <c r="H97" s="15"/>
      <c r="I97" s="15"/>
    </row>
    <row r="98" spans="1:9" ht="26.4" x14ac:dyDescent="0.3">
      <c r="A98" s="11" t="s">
        <v>13</v>
      </c>
      <c r="B98" s="11" t="s">
        <v>336</v>
      </c>
      <c r="C98" s="12" t="s">
        <v>930</v>
      </c>
      <c r="D98" s="13" t="s">
        <v>931</v>
      </c>
      <c r="E98" s="11"/>
      <c r="F98" s="14" t="s">
        <v>37</v>
      </c>
      <c r="G98" s="15"/>
      <c r="H98" s="15"/>
      <c r="I98" s="15"/>
    </row>
    <row r="99" spans="1:9" ht="26.4" x14ac:dyDescent="0.3">
      <c r="A99" s="11" t="s">
        <v>13</v>
      </c>
      <c r="B99" s="11" t="s">
        <v>336</v>
      </c>
      <c r="C99" s="12" t="s">
        <v>932</v>
      </c>
      <c r="D99" s="13" t="s">
        <v>933</v>
      </c>
      <c r="E99" s="11" t="s">
        <v>934</v>
      </c>
      <c r="F99" s="14" t="s">
        <v>37</v>
      </c>
      <c r="G99" s="15"/>
      <c r="H99" s="15"/>
      <c r="I99" s="15"/>
    </row>
    <row r="100" spans="1:9" x14ac:dyDescent="0.3">
      <c r="A100" s="11" t="s">
        <v>13</v>
      </c>
      <c r="B100" s="11" t="s">
        <v>336</v>
      </c>
      <c r="C100" s="12" t="s">
        <v>935</v>
      </c>
      <c r="D100" s="13" t="s">
        <v>936</v>
      </c>
      <c r="E100" s="11"/>
      <c r="F100" s="14" t="s">
        <v>37</v>
      </c>
      <c r="G100" s="15"/>
      <c r="H100" s="15"/>
      <c r="I100" s="15"/>
    </row>
    <row r="101" spans="1:9" x14ac:dyDescent="0.3">
      <c r="A101" s="11" t="s">
        <v>14</v>
      </c>
      <c r="B101" s="11" t="s">
        <v>14</v>
      </c>
      <c r="C101" s="12" t="s">
        <v>937</v>
      </c>
      <c r="D101" s="13" t="s">
        <v>938</v>
      </c>
      <c r="E101" s="11" t="s">
        <v>603</v>
      </c>
      <c r="F101" s="14" t="s">
        <v>37</v>
      </c>
      <c r="G101" s="15"/>
      <c r="H101" s="15"/>
      <c r="I101" s="15"/>
    </row>
    <row r="102" spans="1:9" x14ac:dyDescent="0.3">
      <c r="A102" s="11" t="s">
        <v>14</v>
      </c>
      <c r="B102" s="11" t="s">
        <v>14</v>
      </c>
      <c r="C102" s="12" t="s">
        <v>939</v>
      </c>
      <c r="D102" s="13" t="s">
        <v>940</v>
      </c>
      <c r="E102" s="11" t="s">
        <v>941</v>
      </c>
      <c r="F102" s="14" t="s">
        <v>37</v>
      </c>
      <c r="G102" s="15"/>
      <c r="H102" s="15"/>
      <c r="I102" s="15"/>
    </row>
    <row r="103" spans="1:9" ht="26.4" x14ac:dyDescent="0.3">
      <c r="A103" s="11" t="s">
        <v>14</v>
      </c>
      <c r="B103" s="11" t="s">
        <v>14</v>
      </c>
      <c r="C103" s="12" t="s">
        <v>942</v>
      </c>
      <c r="D103" s="13" t="s">
        <v>943</v>
      </c>
      <c r="E103" s="11"/>
      <c r="F103" s="14" t="s">
        <v>37</v>
      </c>
      <c r="G103" s="15"/>
      <c r="H103" s="15"/>
      <c r="I103" s="15"/>
    </row>
    <row r="104" spans="1:9" x14ac:dyDescent="0.3">
      <c r="A104" s="11" t="s">
        <v>14</v>
      </c>
      <c r="B104" s="11" t="s">
        <v>14</v>
      </c>
      <c r="C104" s="12" t="s">
        <v>944</v>
      </c>
      <c r="D104" s="13" t="s">
        <v>945</v>
      </c>
      <c r="E104" s="11"/>
      <c r="F104" s="14" t="s">
        <v>37</v>
      </c>
      <c r="G104" s="15"/>
      <c r="H104" s="15"/>
      <c r="I104" s="15"/>
    </row>
    <row r="105" spans="1:9" x14ac:dyDescent="0.3">
      <c r="A105" s="11" t="s">
        <v>14</v>
      </c>
      <c r="B105" s="11" t="s">
        <v>14</v>
      </c>
      <c r="C105" s="12" t="s">
        <v>946</v>
      </c>
      <c r="D105" s="13" t="s">
        <v>947</v>
      </c>
      <c r="E105" s="11"/>
      <c r="F105" s="14" t="s">
        <v>37</v>
      </c>
      <c r="G105" s="15"/>
      <c r="H105" s="15"/>
      <c r="I105" s="15"/>
    </row>
    <row r="106" spans="1:9" x14ac:dyDescent="0.3">
      <c r="A106" s="11" t="s">
        <v>14</v>
      </c>
      <c r="B106" s="11" t="s">
        <v>14</v>
      </c>
      <c r="C106" s="12" t="s">
        <v>948</v>
      </c>
      <c r="D106" s="13" t="s">
        <v>949</v>
      </c>
      <c r="E106" s="11" t="s">
        <v>950</v>
      </c>
      <c r="F106" s="14" t="s">
        <v>37</v>
      </c>
      <c r="G106" s="15"/>
      <c r="H106" s="15"/>
      <c r="I106" s="15"/>
    </row>
    <row r="107" spans="1:9" x14ac:dyDescent="0.3">
      <c r="A107" s="11" t="s">
        <v>14</v>
      </c>
      <c r="B107" s="11" t="s">
        <v>14</v>
      </c>
      <c r="C107" s="12" t="s">
        <v>951</v>
      </c>
      <c r="D107" s="13" t="s">
        <v>952</v>
      </c>
      <c r="E107" s="11"/>
      <c r="F107" s="14" t="s">
        <v>37</v>
      </c>
      <c r="G107" s="15"/>
      <c r="H107" s="15"/>
      <c r="I107" s="15"/>
    </row>
    <row r="108" spans="1:9" x14ac:dyDescent="0.3">
      <c r="A108" s="11" t="s">
        <v>14</v>
      </c>
      <c r="B108" s="11" t="s">
        <v>14</v>
      </c>
      <c r="C108" s="12" t="s">
        <v>953</v>
      </c>
      <c r="D108" s="13" t="s">
        <v>954</v>
      </c>
      <c r="E108" s="11"/>
      <c r="F108" s="14" t="s">
        <v>37</v>
      </c>
      <c r="G108" s="15"/>
      <c r="H108" s="15"/>
      <c r="I108" s="15"/>
    </row>
    <row r="109" spans="1:9" ht="26.4" x14ac:dyDescent="0.3">
      <c r="A109" s="11" t="s">
        <v>14</v>
      </c>
      <c r="B109" s="11" t="s">
        <v>14</v>
      </c>
      <c r="C109" s="12" t="s">
        <v>394</v>
      </c>
      <c r="D109" s="13" t="s">
        <v>955</v>
      </c>
      <c r="E109" s="11" t="s">
        <v>956</v>
      </c>
      <c r="F109" s="14" t="s">
        <v>37</v>
      </c>
      <c r="G109" s="15"/>
      <c r="H109" s="15"/>
      <c r="I109" s="15"/>
    </row>
    <row r="110" spans="1:9" ht="26.4" x14ac:dyDescent="0.3">
      <c r="A110" s="11" t="s">
        <v>14</v>
      </c>
      <c r="B110" s="11" t="s">
        <v>14</v>
      </c>
      <c r="C110" s="12" t="s">
        <v>957</v>
      </c>
      <c r="D110" s="13" t="s">
        <v>958</v>
      </c>
      <c r="E110" s="11"/>
      <c r="F110" s="14" t="s">
        <v>37</v>
      </c>
      <c r="G110" s="15"/>
      <c r="H110" s="15"/>
      <c r="I110" s="15"/>
    </row>
    <row r="111" spans="1:9" ht="26.4" x14ac:dyDescent="0.3">
      <c r="A111" s="11" t="s">
        <v>14</v>
      </c>
      <c r="B111" s="11" t="s">
        <v>14</v>
      </c>
      <c r="C111" s="12" t="s">
        <v>959</v>
      </c>
      <c r="D111" s="13" t="s">
        <v>960</v>
      </c>
      <c r="E111" s="11"/>
      <c r="F111" s="14" t="s">
        <v>37</v>
      </c>
      <c r="G111" s="15"/>
      <c r="H111" s="15"/>
      <c r="I111" s="15"/>
    </row>
    <row r="112" spans="1:9" ht="26.4" x14ac:dyDescent="0.3">
      <c r="A112" s="11" t="s">
        <v>14</v>
      </c>
      <c r="B112" s="11" t="s">
        <v>14</v>
      </c>
      <c r="C112" s="12" t="s">
        <v>961</v>
      </c>
      <c r="D112" s="13" t="s">
        <v>962</v>
      </c>
      <c r="E112" s="11"/>
      <c r="F112" s="14" t="s">
        <v>37</v>
      </c>
      <c r="G112" s="15"/>
      <c r="H112" s="15"/>
      <c r="I112" s="15"/>
    </row>
    <row r="113" spans="1:9" x14ac:dyDescent="0.3">
      <c r="A113" s="11" t="s">
        <v>14</v>
      </c>
      <c r="B113" s="11" t="s">
        <v>14</v>
      </c>
      <c r="C113" s="12" t="s">
        <v>963</v>
      </c>
      <c r="D113" s="13" t="s">
        <v>964</v>
      </c>
      <c r="E113" s="11"/>
      <c r="F113" s="14" t="s">
        <v>37</v>
      </c>
      <c r="G113" s="15"/>
      <c r="H113" s="15"/>
      <c r="I113" s="15"/>
    </row>
    <row r="114" spans="1:9" x14ac:dyDescent="0.3">
      <c r="A114" s="11" t="s">
        <v>14</v>
      </c>
      <c r="B114" s="11" t="s">
        <v>14</v>
      </c>
      <c r="C114" s="12" t="s">
        <v>965</v>
      </c>
      <c r="D114" s="13" t="s">
        <v>966</v>
      </c>
      <c r="E114" s="11"/>
      <c r="F114" s="14" t="s">
        <v>37</v>
      </c>
      <c r="G114" s="15"/>
      <c r="H114" s="15"/>
      <c r="I114" s="15"/>
    </row>
    <row r="115" spans="1:9" x14ac:dyDescent="0.3">
      <c r="A115" s="11" t="s">
        <v>14</v>
      </c>
      <c r="B115" s="11" t="s">
        <v>14</v>
      </c>
      <c r="C115" s="12" t="s">
        <v>967</v>
      </c>
      <c r="D115" s="13" t="s">
        <v>968</v>
      </c>
      <c r="E115" s="11"/>
      <c r="F115" s="14" t="s">
        <v>37</v>
      </c>
      <c r="G115" s="15"/>
      <c r="H115" s="15"/>
      <c r="I115" s="15"/>
    </row>
    <row r="116" spans="1:9" x14ac:dyDescent="0.3">
      <c r="A116" s="11" t="s">
        <v>14</v>
      </c>
      <c r="B116" s="11" t="s">
        <v>14</v>
      </c>
      <c r="C116" s="12" t="s">
        <v>770</v>
      </c>
      <c r="D116" s="13" t="s">
        <v>969</v>
      </c>
      <c r="E116" s="11"/>
      <c r="F116" s="14" t="s">
        <v>37</v>
      </c>
      <c r="G116" s="15"/>
      <c r="H116" s="15"/>
      <c r="I116" s="15"/>
    </row>
    <row r="117" spans="1:9" x14ac:dyDescent="0.3">
      <c r="A117" s="11" t="s">
        <v>14</v>
      </c>
      <c r="B117" s="11" t="s">
        <v>14</v>
      </c>
      <c r="C117" s="12" t="s">
        <v>25</v>
      </c>
      <c r="D117" s="13" t="s">
        <v>970</v>
      </c>
      <c r="E117" s="11"/>
      <c r="F117" s="14" t="s">
        <v>37</v>
      </c>
      <c r="G117" s="15"/>
      <c r="H117" s="15"/>
      <c r="I117" s="15"/>
    </row>
    <row r="118" spans="1:9" ht="26.4" x14ac:dyDescent="0.3">
      <c r="A118" s="11" t="s">
        <v>14</v>
      </c>
      <c r="B118" s="11" t="s">
        <v>14</v>
      </c>
      <c r="C118" s="12" t="s">
        <v>971</v>
      </c>
      <c r="D118" s="13" t="s">
        <v>972</v>
      </c>
      <c r="E118" s="11"/>
      <c r="F118" s="14" t="s">
        <v>37</v>
      </c>
      <c r="G118" s="15"/>
      <c r="H118" s="15"/>
      <c r="I118" s="15"/>
    </row>
    <row r="119" spans="1:9" x14ac:dyDescent="0.3">
      <c r="A119" s="11" t="s">
        <v>14</v>
      </c>
      <c r="B119" s="11" t="s">
        <v>14</v>
      </c>
      <c r="C119" s="12" t="s">
        <v>973</v>
      </c>
      <c r="D119" s="13" t="s">
        <v>974</v>
      </c>
      <c r="E119" s="11"/>
      <c r="F119" s="14" t="s">
        <v>37</v>
      </c>
      <c r="G119" s="15"/>
      <c r="H119" s="15"/>
      <c r="I119" s="15"/>
    </row>
    <row r="120" spans="1:9" x14ac:dyDescent="0.3">
      <c r="A120" s="11" t="s">
        <v>14</v>
      </c>
      <c r="B120" s="11" t="s">
        <v>14</v>
      </c>
      <c r="C120" s="12" t="s">
        <v>286</v>
      </c>
      <c r="D120" s="13" t="s">
        <v>975</v>
      </c>
      <c r="E120" s="11"/>
      <c r="F120" s="14" t="s">
        <v>37</v>
      </c>
      <c r="G120" s="15"/>
      <c r="H120" s="15"/>
      <c r="I120" s="15"/>
    </row>
    <row r="121" spans="1:9" x14ac:dyDescent="0.3">
      <c r="A121" s="11" t="s">
        <v>14</v>
      </c>
      <c r="B121" s="11" t="s">
        <v>14</v>
      </c>
      <c r="C121" s="12" t="s">
        <v>976</v>
      </c>
      <c r="D121" s="13" t="s">
        <v>977</v>
      </c>
      <c r="E121" s="11"/>
      <c r="F121" s="14" t="s">
        <v>37</v>
      </c>
      <c r="G121" s="15"/>
      <c r="H121" s="15"/>
      <c r="I121" s="15"/>
    </row>
    <row r="122" spans="1:9" ht="26.4" x14ac:dyDescent="0.3">
      <c r="A122" s="11" t="s">
        <v>14</v>
      </c>
      <c r="B122" s="11" t="s">
        <v>14</v>
      </c>
      <c r="C122" s="12" t="s">
        <v>978</v>
      </c>
      <c r="D122" s="13" t="s">
        <v>979</v>
      </c>
      <c r="E122" s="11"/>
      <c r="F122" s="14" t="s">
        <v>37</v>
      </c>
      <c r="G122" s="15"/>
      <c r="H122" s="15"/>
      <c r="I122" s="15"/>
    </row>
    <row r="123" spans="1:9" x14ac:dyDescent="0.3">
      <c r="A123" s="11" t="s">
        <v>14</v>
      </c>
      <c r="B123" s="11" t="s">
        <v>14</v>
      </c>
      <c r="C123" s="12" t="s">
        <v>475</v>
      </c>
      <c r="D123" s="13" t="s">
        <v>980</v>
      </c>
      <c r="E123" s="11"/>
      <c r="F123" s="14" t="s">
        <v>37</v>
      </c>
      <c r="G123" s="15"/>
      <c r="H123" s="15"/>
      <c r="I123" s="15"/>
    </row>
    <row r="124" spans="1:9" x14ac:dyDescent="0.3">
      <c r="A124" s="11" t="s">
        <v>14</v>
      </c>
      <c r="B124" s="11" t="s">
        <v>14</v>
      </c>
      <c r="C124" s="12" t="s">
        <v>981</v>
      </c>
      <c r="D124" s="13" t="s">
        <v>982</v>
      </c>
      <c r="E124" s="11"/>
      <c r="F124" s="14" t="s">
        <v>37</v>
      </c>
      <c r="G124" s="15"/>
      <c r="H124" s="15"/>
      <c r="I124" s="15"/>
    </row>
    <row r="125" spans="1:9" x14ac:dyDescent="0.3">
      <c r="A125" s="11" t="s">
        <v>14</v>
      </c>
      <c r="B125" s="11" t="s">
        <v>14</v>
      </c>
      <c r="C125" s="12" t="s">
        <v>983</v>
      </c>
      <c r="D125" s="13" t="s">
        <v>984</v>
      </c>
      <c r="E125" s="11"/>
      <c r="F125" s="14" t="s">
        <v>37</v>
      </c>
      <c r="G125" s="15"/>
      <c r="H125" s="15"/>
      <c r="I125" s="15"/>
    </row>
    <row r="126" spans="1:9" ht="26.4" x14ac:dyDescent="0.3">
      <c r="A126" s="11" t="s">
        <v>14</v>
      </c>
      <c r="B126" s="11" t="s">
        <v>14</v>
      </c>
      <c r="C126" s="12" t="s">
        <v>985</v>
      </c>
      <c r="D126" s="13" t="s">
        <v>986</v>
      </c>
      <c r="E126" s="11" t="s">
        <v>987</v>
      </c>
      <c r="F126" s="14" t="s">
        <v>37</v>
      </c>
      <c r="G126" s="15"/>
      <c r="H126" s="15"/>
      <c r="I126" s="15"/>
    </row>
    <row r="127" spans="1:9" x14ac:dyDescent="0.3">
      <c r="A127" s="11" t="s">
        <v>14</v>
      </c>
      <c r="B127" s="11" t="s">
        <v>14</v>
      </c>
      <c r="C127" s="12" t="s">
        <v>988</v>
      </c>
      <c r="D127" s="13" t="s">
        <v>989</v>
      </c>
      <c r="E127" s="11"/>
      <c r="F127" s="14" t="s">
        <v>37</v>
      </c>
      <c r="G127" s="15"/>
      <c r="H127" s="15"/>
      <c r="I127" s="15"/>
    </row>
    <row r="128" spans="1:9" x14ac:dyDescent="0.3">
      <c r="A128" s="11" t="s">
        <v>14</v>
      </c>
      <c r="B128" s="11" t="s">
        <v>14</v>
      </c>
      <c r="C128" s="12" t="s">
        <v>990</v>
      </c>
      <c r="D128" s="13" t="s">
        <v>991</v>
      </c>
      <c r="E128" s="11"/>
      <c r="F128" s="14" t="s">
        <v>37</v>
      </c>
      <c r="G128" s="15"/>
      <c r="H128" s="15"/>
      <c r="I128" s="15"/>
    </row>
    <row r="129" spans="1:9" x14ac:dyDescent="0.3">
      <c r="A129" s="11" t="s">
        <v>14</v>
      </c>
      <c r="B129" s="11" t="s">
        <v>14</v>
      </c>
      <c r="C129" s="12" t="s">
        <v>992</v>
      </c>
      <c r="D129" s="13" t="s">
        <v>993</v>
      </c>
      <c r="E129" s="11"/>
      <c r="F129" s="14" t="s">
        <v>37</v>
      </c>
      <c r="G129" s="15"/>
      <c r="H129" s="15"/>
      <c r="I129" s="15"/>
    </row>
    <row r="130" spans="1:9" ht="26.4" x14ac:dyDescent="0.3">
      <c r="A130" s="11" t="s">
        <v>14</v>
      </c>
      <c r="B130" s="11" t="s">
        <v>14</v>
      </c>
      <c r="C130" s="12" t="s">
        <v>994</v>
      </c>
      <c r="D130" s="13" t="s">
        <v>995</v>
      </c>
      <c r="E130" s="11"/>
      <c r="F130" s="14" t="s">
        <v>37</v>
      </c>
      <c r="G130" s="15"/>
      <c r="H130" s="15"/>
      <c r="I130" s="15"/>
    </row>
    <row r="131" spans="1:9" ht="26.4" x14ac:dyDescent="0.3">
      <c r="A131" s="11" t="s">
        <v>14</v>
      </c>
      <c r="B131" s="11" t="s">
        <v>14</v>
      </c>
      <c r="C131" s="12" t="s">
        <v>178</v>
      </c>
      <c r="D131" s="13" t="s">
        <v>996</v>
      </c>
      <c r="E131" s="11"/>
      <c r="F131" s="14" t="s">
        <v>37</v>
      </c>
      <c r="G131" s="15"/>
      <c r="H131" s="15"/>
      <c r="I131" s="15"/>
    </row>
    <row r="132" spans="1:9" x14ac:dyDescent="0.3">
      <c r="A132" s="11" t="s">
        <v>14</v>
      </c>
      <c r="B132" s="11" t="s">
        <v>14</v>
      </c>
      <c r="C132" s="12" t="s">
        <v>178</v>
      </c>
      <c r="D132" s="13" t="s">
        <v>997</v>
      </c>
      <c r="E132" s="11"/>
      <c r="F132" s="14" t="s">
        <v>37</v>
      </c>
      <c r="G132" s="15"/>
      <c r="H132" s="15"/>
      <c r="I132" s="15"/>
    </row>
    <row r="133" spans="1:9" x14ac:dyDescent="0.3">
      <c r="A133" s="11" t="s">
        <v>14</v>
      </c>
      <c r="B133" s="11" t="s">
        <v>14</v>
      </c>
      <c r="C133" s="12" t="s">
        <v>178</v>
      </c>
      <c r="D133" s="13" t="s">
        <v>998</v>
      </c>
      <c r="E133" s="11"/>
      <c r="F133" s="14" t="s">
        <v>37</v>
      </c>
      <c r="G133" s="15"/>
      <c r="H133" s="15"/>
      <c r="I133" s="15"/>
    </row>
    <row r="134" spans="1:9" ht="26.4" x14ac:dyDescent="0.3">
      <c r="A134" s="11" t="s">
        <v>14</v>
      </c>
      <c r="B134" s="11" t="s">
        <v>14</v>
      </c>
      <c r="C134" s="12" t="s">
        <v>999</v>
      </c>
      <c r="D134" s="13" t="s">
        <v>1000</v>
      </c>
      <c r="E134" s="11"/>
      <c r="F134" s="14" t="s">
        <v>37</v>
      </c>
      <c r="G134" s="15"/>
      <c r="H134" s="15"/>
      <c r="I134" s="15"/>
    </row>
    <row r="135" spans="1:9" ht="26.4" x14ac:dyDescent="0.3">
      <c r="A135" s="11" t="s">
        <v>14</v>
      </c>
      <c r="B135" s="11" t="s">
        <v>14</v>
      </c>
      <c r="C135" s="12" t="s">
        <v>1001</v>
      </c>
      <c r="D135" s="13" t="s">
        <v>1002</v>
      </c>
      <c r="E135" s="11" t="s">
        <v>1003</v>
      </c>
      <c r="F135" s="14" t="s">
        <v>37</v>
      </c>
      <c r="G135" s="15"/>
      <c r="H135" s="15"/>
      <c r="I135" s="15"/>
    </row>
    <row r="136" spans="1:9" x14ac:dyDescent="0.3">
      <c r="A136" s="11" t="s">
        <v>14</v>
      </c>
      <c r="B136" s="11" t="s">
        <v>14</v>
      </c>
      <c r="C136" s="12" t="s">
        <v>1004</v>
      </c>
      <c r="D136" s="13" t="s">
        <v>1005</v>
      </c>
      <c r="E136" s="11"/>
      <c r="F136" s="14" t="s">
        <v>37</v>
      </c>
      <c r="G136" s="15"/>
      <c r="H136" s="15"/>
      <c r="I136" s="15"/>
    </row>
    <row r="137" spans="1:9" ht="26.4" x14ac:dyDescent="0.3">
      <c r="A137" s="11" t="s">
        <v>14</v>
      </c>
      <c r="B137" s="11" t="s">
        <v>14</v>
      </c>
      <c r="C137" s="12" t="s">
        <v>1006</v>
      </c>
      <c r="D137" s="13" t="s">
        <v>1007</v>
      </c>
      <c r="E137" s="11" t="s">
        <v>1008</v>
      </c>
      <c r="F137" s="14" t="s">
        <v>37</v>
      </c>
      <c r="G137" s="15"/>
      <c r="H137" s="15"/>
      <c r="I137" s="15"/>
    </row>
    <row r="138" spans="1:9" x14ac:dyDescent="0.3">
      <c r="A138" s="11" t="s">
        <v>14</v>
      </c>
      <c r="B138" s="11" t="s">
        <v>14</v>
      </c>
      <c r="C138" s="12" t="s">
        <v>1009</v>
      </c>
      <c r="D138" s="13" t="s">
        <v>1010</v>
      </c>
      <c r="E138" s="11"/>
      <c r="F138" s="14" t="s">
        <v>37</v>
      </c>
      <c r="G138" s="15"/>
      <c r="H138" s="15"/>
      <c r="I138" s="15"/>
    </row>
    <row r="139" spans="1:9" ht="26.4" x14ac:dyDescent="0.3">
      <c r="A139" s="11" t="s">
        <v>14</v>
      </c>
      <c r="B139" s="11" t="s">
        <v>14</v>
      </c>
      <c r="C139" s="12" t="s">
        <v>1011</v>
      </c>
      <c r="D139" s="13" t="s">
        <v>1012</v>
      </c>
      <c r="E139" s="11"/>
      <c r="F139" s="14" t="s">
        <v>37</v>
      </c>
      <c r="G139" s="15"/>
      <c r="H139" s="15"/>
      <c r="I139" s="15"/>
    </row>
    <row r="140" spans="1:9" x14ac:dyDescent="0.3">
      <c r="A140" s="11" t="s">
        <v>14</v>
      </c>
      <c r="B140" s="11" t="s">
        <v>14</v>
      </c>
      <c r="C140" s="12" t="s">
        <v>1013</v>
      </c>
      <c r="D140" s="13" t="s">
        <v>1014</v>
      </c>
      <c r="E140" s="11"/>
      <c r="F140" s="14" t="s">
        <v>37</v>
      </c>
      <c r="G140" s="15"/>
      <c r="H140" s="15"/>
      <c r="I140" s="15"/>
    </row>
    <row r="141" spans="1:9" x14ac:dyDescent="0.3">
      <c r="A141" s="11" t="s">
        <v>14</v>
      </c>
      <c r="B141" s="11" t="s">
        <v>14</v>
      </c>
      <c r="C141" s="12" t="s">
        <v>1015</v>
      </c>
      <c r="D141" s="13" t="s">
        <v>1016</v>
      </c>
      <c r="E141" s="11"/>
      <c r="F141" s="14" t="s">
        <v>37</v>
      </c>
      <c r="G141" s="15"/>
      <c r="H141" s="15"/>
      <c r="I141" s="15"/>
    </row>
    <row r="142" spans="1:9" ht="26.4" x14ac:dyDescent="0.3">
      <c r="A142" s="11" t="s">
        <v>14</v>
      </c>
      <c r="B142" s="11" t="s">
        <v>14</v>
      </c>
      <c r="C142" s="12" t="s">
        <v>1017</v>
      </c>
      <c r="D142" s="13" t="s">
        <v>1018</v>
      </c>
      <c r="E142" s="11"/>
      <c r="F142" s="14" t="s">
        <v>37</v>
      </c>
      <c r="G142" s="15"/>
      <c r="H142" s="15"/>
      <c r="I142" s="15"/>
    </row>
    <row r="143" spans="1:9" ht="26.4" x14ac:dyDescent="0.3">
      <c r="A143" s="11" t="s">
        <v>14</v>
      </c>
      <c r="B143" s="11" t="s">
        <v>14</v>
      </c>
      <c r="C143" s="12" t="s">
        <v>1017</v>
      </c>
      <c r="D143" s="13" t="s">
        <v>1019</v>
      </c>
      <c r="E143" s="11"/>
      <c r="F143" s="14" t="s">
        <v>37</v>
      </c>
      <c r="G143" s="15"/>
      <c r="H143" s="15"/>
      <c r="I143" s="15"/>
    </row>
    <row r="144" spans="1:9" x14ac:dyDescent="0.3">
      <c r="A144" s="11" t="s">
        <v>14</v>
      </c>
      <c r="B144" s="11" t="s">
        <v>14</v>
      </c>
      <c r="C144" s="12" t="s">
        <v>1020</v>
      </c>
      <c r="D144" s="13" t="s">
        <v>1021</v>
      </c>
      <c r="E144" s="11"/>
      <c r="F144" s="14" t="s">
        <v>37</v>
      </c>
      <c r="G144" s="15"/>
      <c r="H144" s="15"/>
      <c r="I144" s="15"/>
    </row>
    <row r="145" spans="1:9" ht="26.4" x14ac:dyDescent="0.3">
      <c r="A145" s="11" t="s">
        <v>14</v>
      </c>
      <c r="B145" s="11" t="s">
        <v>14</v>
      </c>
      <c r="C145" s="12" t="s">
        <v>1022</v>
      </c>
      <c r="D145" s="13" t="s">
        <v>1023</v>
      </c>
      <c r="E145" s="11"/>
      <c r="F145" s="14" t="s">
        <v>37</v>
      </c>
      <c r="G145" s="15"/>
      <c r="H145" s="15"/>
      <c r="I145" s="15"/>
    </row>
    <row r="146" spans="1:9" x14ac:dyDescent="0.3">
      <c r="A146" s="11" t="s">
        <v>14</v>
      </c>
      <c r="B146" s="11" t="s">
        <v>14</v>
      </c>
      <c r="C146" s="12" t="s">
        <v>1024</v>
      </c>
      <c r="D146" s="13" t="s">
        <v>1025</v>
      </c>
      <c r="E146" s="11" t="s">
        <v>1026</v>
      </c>
      <c r="F146" s="14" t="s">
        <v>37</v>
      </c>
      <c r="G146" s="15"/>
      <c r="H146" s="15"/>
      <c r="I146" s="15"/>
    </row>
    <row r="147" spans="1:9" x14ac:dyDescent="0.3">
      <c r="A147" s="11" t="s">
        <v>14</v>
      </c>
      <c r="B147" s="11" t="s">
        <v>14</v>
      </c>
      <c r="C147" s="12" t="s">
        <v>1027</v>
      </c>
      <c r="D147" s="13" t="s">
        <v>1028</v>
      </c>
      <c r="E147" s="11"/>
      <c r="F147" s="14" t="s">
        <v>37</v>
      </c>
      <c r="G147" s="15"/>
      <c r="H147" s="15"/>
      <c r="I147" s="15"/>
    </row>
    <row r="148" spans="1:9" x14ac:dyDescent="0.3">
      <c r="A148" s="11" t="s">
        <v>14</v>
      </c>
      <c r="B148" s="11" t="s">
        <v>14</v>
      </c>
      <c r="C148" s="12" t="s">
        <v>1029</v>
      </c>
      <c r="D148" s="13" t="s">
        <v>1030</v>
      </c>
      <c r="E148" s="11" t="s">
        <v>588</v>
      </c>
      <c r="F148" s="14" t="s">
        <v>37</v>
      </c>
      <c r="G148" s="15"/>
      <c r="H148" s="15"/>
      <c r="I148" s="15"/>
    </row>
    <row r="149" spans="1:9" x14ac:dyDescent="0.3">
      <c r="A149" s="11" t="s">
        <v>14</v>
      </c>
      <c r="B149" s="11" t="s">
        <v>14</v>
      </c>
      <c r="C149" s="12" t="s">
        <v>1031</v>
      </c>
      <c r="D149" s="13" t="s">
        <v>1032</v>
      </c>
      <c r="E149" s="11" t="s">
        <v>1033</v>
      </c>
      <c r="F149" s="14" t="s">
        <v>37</v>
      </c>
      <c r="G149" s="15"/>
      <c r="H149" s="15"/>
      <c r="I149" s="15"/>
    </row>
    <row r="150" spans="1:9" ht="26.4" x14ac:dyDescent="0.3">
      <c r="A150" s="11" t="s">
        <v>14</v>
      </c>
      <c r="B150" s="11" t="s">
        <v>14</v>
      </c>
      <c r="C150" s="12" t="s">
        <v>1034</v>
      </c>
      <c r="D150" s="13" t="s">
        <v>1035</v>
      </c>
      <c r="E150" s="11"/>
      <c r="F150" s="14" t="s">
        <v>37</v>
      </c>
      <c r="G150" s="15"/>
      <c r="H150" s="15"/>
      <c r="I150" s="15"/>
    </row>
    <row r="151" spans="1:9" x14ac:dyDescent="0.3">
      <c r="A151" s="11" t="s">
        <v>14</v>
      </c>
      <c r="B151" s="11" t="s">
        <v>14</v>
      </c>
      <c r="C151" s="12" t="s">
        <v>550</v>
      </c>
      <c r="D151" s="13" t="s">
        <v>1036</v>
      </c>
      <c r="E151" s="11"/>
      <c r="F151" s="14" t="s">
        <v>37</v>
      </c>
      <c r="G151" s="15"/>
      <c r="H151" s="15"/>
      <c r="I151" s="15"/>
    </row>
    <row r="152" spans="1:9" x14ac:dyDescent="0.3">
      <c r="A152" s="11" t="s">
        <v>14</v>
      </c>
      <c r="B152" s="11" t="s">
        <v>14</v>
      </c>
      <c r="C152" s="12" t="s">
        <v>1037</v>
      </c>
      <c r="D152" s="13" t="s">
        <v>1038</v>
      </c>
      <c r="E152" s="11"/>
      <c r="F152" s="14" t="s">
        <v>37</v>
      </c>
      <c r="G152" s="15"/>
      <c r="H152" s="15"/>
      <c r="I152" s="15"/>
    </row>
    <row r="153" spans="1:9" x14ac:dyDescent="0.3">
      <c r="A153" s="11" t="s">
        <v>14</v>
      </c>
      <c r="B153" s="11" t="s">
        <v>14</v>
      </c>
      <c r="C153" s="12" t="s">
        <v>1039</v>
      </c>
      <c r="D153" s="13" t="s">
        <v>1040</v>
      </c>
      <c r="E153" s="11"/>
      <c r="F153" s="14" t="s">
        <v>37</v>
      </c>
      <c r="G153" s="15"/>
      <c r="H153" s="15"/>
      <c r="I153" s="15"/>
    </row>
    <row r="154" spans="1:9" x14ac:dyDescent="0.3">
      <c r="A154" s="11" t="s">
        <v>14</v>
      </c>
      <c r="B154" s="11" t="s">
        <v>14</v>
      </c>
      <c r="C154" s="12" t="s">
        <v>1041</v>
      </c>
      <c r="D154" s="13" t="s">
        <v>1042</v>
      </c>
      <c r="E154" s="11" t="s">
        <v>1043</v>
      </c>
      <c r="F154" s="14" t="s">
        <v>37</v>
      </c>
      <c r="G154" s="15"/>
      <c r="H154" s="15"/>
      <c r="I154" s="15"/>
    </row>
    <row r="155" spans="1:9" x14ac:dyDescent="0.3">
      <c r="A155" s="11" t="s">
        <v>14</v>
      </c>
      <c r="B155" s="11" t="s">
        <v>14</v>
      </c>
      <c r="C155" s="12" t="s">
        <v>1044</v>
      </c>
      <c r="D155" s="13" t="s">
        <v>1045</v>
      </c>
      <c r="E155" s="11"/>
      <c r="F155" s="14" t="s">
        <v>37</v>
      </c>
      <c r="G155" s="15"/>
      <c r="H155" s="15"/>
      <c r="I155" s="15"/>
    </row>
    <row r="156" spans="1:9" x14ac:dyDescent="0.3">
      <c r="A156" s="11" t="s">
        <v>14</v>
      </c>
      <c r="B156" s="11" t="s">
        <v>14</v>
      </c>
      <c r="C156" s="12" t="s">
        <v>577</v>
      </c>
      <c r="D156" s="13" t="s">
        <v>1046</v>
      </c>
      <c r="E156" s="11"/>
      <c r="F156" s="14" t="s">
        <v>37</v>
      </c>
      <c r="G156" s="15"/>
      <c r="H156" s="15"/>
      <c r="I156" s="15"/>
    </row>
    <row r="157" spans="1:9" ht="26.4" x14ac:dyDescent="0.3">
      <c r="A157" s="11" t="s">
        <v>14</v>
      </c>
      <c r="B157" s="11" t="s">
        <v>14</v>
      </c>
      <c r="C157" s="12" t="s">
        <v>1047</v>
      </c>
      <c r="D157" s="13" t="s">
        <v>1048</v>
      </c>
      <c r="E157" s="11" t="s">
        <v>603</v>
      </c>
      <c r="F157" s="14" t="s">
        <v>37</v>
      </c>
      <c r="G157" s="15"/>
      <c r="H157" s="15"/>
      <c r="I157" s="15"/>
    </row>
    <row r="158" spans="1:9" x14ac:dyDescent="0.3">
      <c r="A158" s="11" t="s">
        <v>14</v>
      </c>
      <c r="B158" s="11" t="s">
        <v>14</v>
      </c>
      <c r="C158" s="12" t="s">
        <v>1049</v>
      </c>
      <c r="D158" s="13" t="s">
        <v>1050</v>
      </c>
      <c r="E158" s="11" t="s">
        <v>1051</v>
      </c>
      <c r="F158" s="14" t="s">
        <v>37</v>
      </c>
      <c r="G158" s="15"/>
      <c r="H158" s="15"/>
      <c r="I158" s="15"/>
    </row>
    <row r="159" spans="1:9" x14ac:dyDescent="0.3">
      <c r="A159" s="11" t="s">
        <v>14</v>
      </c>
      <c r="B159" s="11" t="s">
        <v>14</v>
      </c>
      <c r="C159" s="12" t="s">
        <v>585</v>
      </c>
      <c r="D159" s="13" t="s">
        <v>1052</v>
      </c>
      <c r="E159" s="11" t="s">
        <v>588</v>
      </c>
      <c r="F159" s="14" t="s">
        <v>37</v>
      </c>
      <c r="G159" s="15"/>
      <c r="H159" s="15"/>
      <c r="I159" s="15"/>
    </row>
    <row r="160" spans="1:9" ht="26.4" x14ac:dyDescent="0.3">
      <c r="A160" s="11" t="s">
        <v>14</v>
      </c>
      <c r="B160" s="11" t="s">
        <v>14</v>
      </c>
      <c r="C160" s="12" t="s">
        <v>585</v>
      </c>
      <c r="D160" s="13" t="s">
        <v>1053</v>
      </c>
      <c r="E160" s="11" t="s">
        <v>588</v>
      </c>
      <c r="F160" s="14" t="s">
        <v>37</v>
      </c>
      <c r="G160" s="15"/>
      <c r="H160" s="15"/>
      <c r="I160" s="15"/>
    </row>
    <row r="161" spans="1:9" ht="26.4" x14ac:dyDescent="0.3">
      <c r="A161" s="11" t="s">
        <v>14</v>
      </c>
      <c r="B161" s="11" t="s">
        <v>14</v>
      </c>
      <c r="C161" s="12" t="s">
        <v>585</v>
      </c>
      <c r="D161" s="13" t="s">
        <v>1054</v>
      </c>
      <c r="E161" s="11" t="s">
        <v>588</v>
      </c>
      <c r="F161" s="14" t="s">
        <v>37</v>
      </c>
      <c r="G161" s="15"/>
      <c r="H161" s="15"/>
      <c r="I161" s="15"/>
    </row>
    <row r="162" spans="1:9" ht="26.4" x14ac:dyDescent="0.3">
      <c r="A162" s="11" t="s">
        <v>14</v>
      </c>
      <c r="B162" s="11" t="s">
        <v>14</v>
      </c>
      <c r="C162" s="12" t="s">
        <v>585</v>
      </c>
      <c r="D162" s="13" t="s">
        <v>1055</v>
      </c>
      <c r="E162" s="11" t="s">
        <v>588</v>
      </c>
      <c r="F162" s="14" t="s">
        <v>37</v>
      </c>
      <c r="G162" s="15"/>
      <c r="H162" s="15"/>
      <c r="I162" s="15"/>
    </row>
    <row r="163" spans="1:9" ht="26.4" x14ac:dyDescent="0.3">
      <c r="A163" s="11" t="s">
        <v>14</v>
      </c>
      <c r="B163" s="11" t="s">
        <v>14</v>
      </c>
      <c r="C163" s="12" t="s">
        <v>1056</v>
      </c>
      <c r="D163" s="13" t="s">
        <v>1057</v>
      </c>
      <c r="E163" s="11" t="s">
        <v>1058</v>
      </c>
      <c r="F163" s="14" t="s">
        <v>37</v>
      </c>
      <c r="G163" s="15"/>
      <c r="H163" s="15"/>
      <c r="I163" s="15"/>
    </row>
    <row r="164" spans="1:9" x14ac:dyDescent="0.3">
      <c r="A164" s="11" t="s">
        <v>14</v>
      </c>
      <c r="B164" s="11" t="s">
        <v>14</v>
      </c>
      <c r="C164" s="12" t="s">
        <v>1059</v>
      </c>
      <c r="D164" s="13" t="s">
        <v>1060</v>
      </c>
      <c r="E164" s="11"/>
      <c r="F164" s="14" t="s">
        <v>37</v>
      </c>
      <c r="G164" s="15"/>
      <c r="H164" s="15"/>
      <c r="I164" s="15"/>
    </row>
    <row r="165" spans="1:9" x14ac:dyDescent="0.3">
      <c r="A165" s="11" t="s">
        <v>14</v>
      </c>
      <c r="B165" s="11" t="s">
        <v>14</v>
      </c>
      <c r="C165" s="12" t="s">
        <v>1061</v>
      </c>
      <c r="D165" s="13" t="s">
        <v>1062</v>
      </c>
      <c r="E165" s="11"/>
      <c r="F165" s="14" t="s">
        <v>37</v>
      </c>
      <c r="G165" s="15"/>
      <c r="H165" s="15"/>
      <c r="I165" s="15"/>
    </row>
    <row r="166" spans="1:9" x14ac:dyDescent="0.3">
      <c r="A166" s="11" t="s">
        <v>16</v>
      </c>
      <c r="B166" s="11" t="s">
        <v>616</v>
      </c>
      <c r="C166" s="12" t="s">
        <v>607</v>
      </c>
      <c r="D166" s="13" t="s">
        <v>1063</v>
      </c>
      <c r="E166" s="11"/>
      <c r="F166" s="14" t="s">
        <v>37</v>
      </c>
      <c r="G166" s="15"/>
      <c r="H166" s="15"/>
      <c r="I166" s="15"/>
    </row>
    <row r="167" spans="1:9" x14ac:dyDescent="0.3">
      <c r="A167" s="11" t="s">
        <v>16</v>
      </c>
      <c r="B167" s="11" t="s">
        <v>616</v>
      </c>
      <c r="C167" s="12" t="s">
        <v>1064</v>
      </c>
      <c r="D167" s="13" t="s">
        <v>1065</v>
      </c>
      <c r="E167" s="11"/>
      <c r="F167" s="14" t="s">
        <v>37</v>
      </c>
      <c r="G167" s="15"/>
      <c r="H167" s="15"/>
      <c r="I167" s="15"/>
    </row>
    <row r="168" spans="1:9" x14ac:dyDescent="0.3">
      <c r="A168" s="11" t="s">
        <v>16</v>
      </c>
      <c r="B168" s="11" t="s">
        <v>626</v>
      </c>
      <c r="C168" s="12" t="s">
        <v>1066</v>
      </c>
      <c r="D168" s="13" t="s">
        <v>1067</v>
      </c>
      <c r="E168" s="11"/>
      <c r="F168" s="14" t="s">
        <v>37</v>
      </c>
      <c r="G168" s="15"/>
      <c r="H168" s="15"/>
      <c r="I168" s="15"/>
    </row>
    <row r="169" spans="1:9" x14ac:dyDescent="0.3">
      <c r="A169" s="11" t="s">
        <v>16</v>
      </c>
      <c r="B169" s="11" t="s">
        <v>626</v>
      </c>
      <c r="C169" s="12" t="s">
        <v>1068</v>
      </c>
      <c r="D169" s="13" t="s">
        <v>1069</v>
      </c>
      <c r="E169" s="11"/>
      <c r="F169" s="14" t="s">
        <v>37</v>
      </c>
      <c r="G169" s="15"/>
      <c r="H169" s="15"/>
      <c r="I169" s="15"/>
    </row>
    <row r="170" spans="1:9" x14ac:dyDescent="0.3">
      <c r="A170" s="11" t="s">
        <v>16</v>
      </c>
      <c r="B170" s="11" t="s">
        <v>630</v>
      </c>
      <c r="C170" s="12" t="s">
        <v>88</v>
      </c>
      <c r="D170" s="13" t="s">
        <v>1070</v>
      </c>
      <c r="E170" s="11"/>
      <c r="F170" s="14" t="s">
        <v>37</v>
      </c>
      <c r="G170" s="15"/>
      <c r="H170" s="15"/>
      <c r="I170" s="15"/>
    </row>
    <row r="171" spans="1:9" ht="26.4" x14ac:dyDescent="0.3">
      <c r="A171" s="11" t="s">
        <v>16</v>
      </c>
      <c r="B171" s="11" t="s">
        <v>634</v>
      </c>
      <c r="C171" s="12" t="s">
        <v>607</v>
      </c>
      <c r="D171" s="13" t="s">
        <v>1071</v>
      </c>
      <c r="E171" s="11"/>
      <c r="F171" s="14" t="s">
        <v>37</v>
      </c>
      <c r="G171" s="15"/>
      <c r="H171" s="15"/>
      <c r="I171" s="15"/>
    </row>
    <row r="172" spans="1:9" x14ac:dyDescent="0.3">
      <c r="A172" s="11" t="s">
        <v>16</v>
      </c>
      <c r="B172" s="11" t="s">
        <v>634</v>
      </c>
      <c r="C172" s="12" t="s">
        <v>1072</v>
      </c>
      <c r="D172" s="13" t="s">
        <v>1073</v>
      </c>
      <c r="E172" s="11"/>
      <c r="F172" s="14" t="s">
        <v>37</v>
      </c>
      <c r="G172" s="15"/>
      <c r="H172" s="15"/>
      <c r="I172" s="15"/>
    </row>
    <row r="173" spans="1:9" x14ac:dyDescent="0.3">
      <c r="A173" s="11" t="s">
        <v>16</v>
      </c>
      <c r="B173" s="11" t="s">
        <v>634</v>
      </c>
      <c r="C173" s="12" t="s">
        <v>1074</v>
      </c>
      <c r="D173" s="13" t="s">
        <v>1075</v>
      </c>
      <c r="E173" s="11"/>
      <c r="F173" s="14" t="s">
        <v>37</v>
      </c>
      <c r="G173" s="15"/>
      <c r="H173" s="15"/>
      <c r="I173" s="15"/>
    </row>
    <row r="174" spans="1:9" x14ac:dyDescent="0.3">
      <c r="A174" s="11" t="s">
        <v>16</v>
      </c>
      <c r="B174" s="11" t="s">
        <v>1076</v>
      </c>
      <c r="C174" s="12" t="s">
        <v>136</v>
      </c>
      <c r="D174" s="13" t="s">
        <v>1077</v>
      </c>
      <c r="E174" s="11"/>
      <c r="F174" s="14" t="s">
        <v>37</v>
      </c>
      <c r="G174" s="15"/>
      <c r="H174" s="15"/>
      <c r="I174" s="15"/>
    </row>
    <row r="175" spans="1:9" ht="26.4" x14ac:dyDescent="0.3">
      <c r="A175" s="11" t="s">
        <v>16</v>
      </c>
      <c r="B175" s="11" t="s">
        <v>667</v>
      </c>
      <c r="C175" s="12" t="s">
        <v>677</v>
      </c>
      <c r="D175" s="13" t="s">
        <v>1078</v>
      </c>
      <c r="E175" s="11"/>
      <c r="F175" s="14" t="s">
        <v>37</v>
      </c>
      <c r="G175" s="15"/>
      <c r="H175" s="15"/>
      <c r="I175" s="15"/>
    </row>
    <row r="176" spans="1:9" x14ac:dyDescent="0.3">
      <c r="A176" s="11" t="s">
        <v>16</v>
      </c>
      <c r="B176" s="11" t="s">
        <v>686</v>
      </c>
      <c r="C176" s="12" t="s">
        <v>1079</v>
      </c>
      <c r="D176" s="13" t="s">
        <v>1080</v>
      </c>
      <c r="E176" s="11"/>
      <c r="F176" s="14" t="s">
        <v>37</v>
      </c>
      <c r="G176" s="15"/>
      <c r="H176" s="15"/>
      <c r="I176" s="15"/>
    </row>
    <row r="177" spans="1:9" x14ac:dyDescent="0.3">
      <c r="A177" s="11" t="s">
        <v>16</v>
      </c>
      <c r="B177" s="11" t="s">
        <v>690</v>
      </c>
      <c r="C177" s="12" t="s">
        <v>1081</v>
      </c>
      <c r="D177" s="13" t="s">
        <v>1082</v>
      </c>
      <c r="E177" s="11"/>
      <c r="F177" s="14" t="s">
        <v>37</v>
      </c>
      <c r="G177" s="15"/>
      <c r="H177" s="15"/>
      <c r="I177" s="15"/>
    </row>
    <row r="178" spans="1:9" x14ac:dyDescent="0.3">
      <c r="A178" s="11" t="s">
        <v>16</v>
      </c>
      <c r="B178" s="11" t="s">
        <v>700</v>
      </c>
      <c r="C178" s="12" t="s">
        <v>178</v>
      </c>
      <c r="D178" s="13" t="s">
        <v>1083</v>
      </c>
      <c r="E178" s="11"/>
      <c r="F178" s="14" t="s">
        <v>37</v>
      </c>
      <c r="G178" s="15"/>
      <c r="H178" s="15"/>
      <c r="I178" s="15"/>
    </row>
    <row r="179" spans="1:9" x14ac:dyDescent="0.3">
      <c r="A179" s="11" t="s">
        <v>16</v>
      </c>
      <c r="B179" s="11" t="s">
        <v>1084</v>
      </c>
      <c r="C179" s="12" t="s">
        <v>687</v>
      </c>
      <c r="D179" s="13" t="s">
        <v>1085</v>
      </c>
      <c r="E179" s="11"/>
      <c r="F179" s="14" t="s">
        <v>37</v>
      </c>
      <c r="G179" s="15"/>
      <c r="H179" s="15"/>
      <c r="I179" s="15"/>
    </row>
    <row r="180" spans="1:9" x14ac:dyDescent="0.3">
      <c r="A180" s="11" t="s">
        <v>16</v>
      </c>
      <c r="B180" s="11" t="s">
        <v>1086</v>
      </c>
      <c r="C180" s="12" t="s">
        <v>1087</v>
      </c>
      <c r="D180" s="13" t="s">
        <v>1088</v>
      </c>
      <c r="E180" s="11"/>
      <c r="F180" s="14" t="s">
        <v>37</v>
      </c>
      <c r="G180" s="15"/>
      <c r="H180" s="15"/>
      <c r="I180" s="15"/>
    </row>
    <row r="181" spans="1:9" x14ac:dyDescent="0.3">
      <c r="A181" s="11" t="s">
        <v>16</v>
      </c>
      <c r="B181" s="11" t="s">
        <v>714</v>
      </c>
      <c r="C181" s="12" t="s">
        <v>1089</v>
      </c>
      <c r="D181" s="13" t="s">
        <v>1090</v>
      </c>
      <c r="E181" s="11"/>
      <c r="F181" s="14" t="s">
        <v>37</v>
      </c>
      <c r="G181" s="15"/>
      <c r="H181" s="15"/>
      <c r="I181" s="15"/>
    </row>
    <row r="182" spans="1:9" x14ac:dyDescent="0.3">
      <c r="A182" s="11" t="s">
        <v>16</v>
      </c>
      <c r="B182" s="11" t="s">
        <v>714</v>
      </c>
      <c r="C182" s="12" t="s">
        <v>25</v>
      </c>
      <c r="D182" s="13" t="s">
        <v>1091</v>
      </c>
      <c r="E182" s="11"/>
      <c r="F182" s="14" t="s">
        <v>37</v>
      </c>
      <c r="G182" s="15"/>
      <c r="H182" s="15"/>
      <c r="I182" s="15"/>
    </row>
    <row r="183" spans="1:9" x14ac:dyDescent="0.3">
      <c r="A183" s="11" t="s">
        <v>16</v>
      </c>
      <c r="B183" s="11" t="s">
        <v>714</v>
      </c>
      <c r="C183" s="12" t="s">
        <v>178</v>
      </c>
      <c r="D183" s="13" t="s">
        <v>1092</v>
      </c>
      <c r="E183" s="11"/>
      <c r="F183" s="14" t="s">
        <v>37</v>
      </c>
      <c r="G183" s="15"/>
      <c r="H183" s="15"/>
      <c r="I183" s="15"/>
    </row>
    <row r="184" spans="1:9" x14ac:dyDescent="0.3">
      <c r="A184" s="11" t="s">
        <v>16</v>
      </c>
      <c r="B184" s="11" t="s">
        <v>1093</v>
      </c>
      <c r="C184" s="12" t="s">
        <v>25</v>
      </c>
      <c r="D184" s="13" t="s">
        <v>1094</v>
      </c>
      <c r="E184" s="11"/>
      <c r="F184" s="14" t="s">
        <v>37</v>
      </c>
      <c r="G184" s="15"/>
      <c r="H184" s="15"/>
      <c r="I184" s="15"/>
    </row>
    <row r="185" spans="1:9" x14ac:dyDescent="0.3">
      <c r="A185" s="11" t="s">
        <v>16</v>
      </c>
      <c r="B185" s="11" t="s">
        <v>1093</v>
      </c>
      <c r="C185" s="12" t="s">
        <v>106</v>
      </c>
      <c r="D185" s="13" t="s">
        <v>1095</v>
      </c>
      <c r="E185" s="11"/>
      <c r="F185" s="14" t="s">
        <v>37</v>
      </c>
      <c r="G185" s="15"/>
      <c r="H185" s="15"/>
      <c r="I185" s="15"/>
    </row>
    <row r="186" spans="1:9" x14ac:dyDescent="0.3">
      <c r="A186" s="11" t="s">
        <v>16</v>
      </c>
      <c r="B186" s="11" t="s">
        <v>744</v>
      </c>
      <c r="C186" s="12" t="s">
        <v>88</v>
      </c>
      <c r="D186" s="13" t="s">
        <v>1096</v>
      </c>
      <c r="E186" s="11"/>
      <c r="F186" s="14" t="s">
        <v>37</v>
      </c>
      <c r="G186" s="15"/>
      <c r="H186" s="15"/>
      <c r="I186" s="15"/>
    </row>
  </sheetData>
  <autoFilter ref="A1:I186" xr:uid="{00000000-0009-0000-0000-000002000000}"/>
  <dataValidations count="2">
    <dataValidation type="list" allowBlank="1" sqref="G2:G186" xr:uid="{00000000-0002-0000-0200-000000000000}">
      <formula1>"Sí,No"</formula1>
    </dataValidation>
    <dataValidation type="list" allowBlank="1" sqref="H2:H186" xr:uid="{00000000-0002-0000-0200-000001000000}">
      <formula1>"Le interesa,Quiere más información,No le interesa,No contestó,Número equivocado,Ya cerró"</formula1>
    </dataValidation>
  </dataValidations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  <hyperlink ref="F57" r:id="rId56" xr:uid="{00000000-0004-0000-0200-000037000000}"/>
    <hyperlink ref="F58" r:id="rId57" xr:uid="{00000000-0004-0000-0200-000038000000}"/>
    <hyperlink ref="F59" r:id="rId58" xr:uid="{00000000-0004-0000-0200-000039000000}"/>
    <hyperlink ref="F60" r:id="rId59" xr:uid="{00000000-0004-0000-0200-00003A000000}"/>
    <hyperlink ref="F61" r:id="rId60" xr:uid="{00000000-0004-0000-0200-00003B000000}"/>
    <hyperlink ref="F62" r:id="rId61" xr:uid="{00000000-0004-0000-0200-00003C000000}"/>
    <hyperlink ref="F63" r:id="rId62" xr:uid="{00000000-0004-0000-0200-00003D000000}"/>
    <hyperlink ref="F64" r:id="rId63" xr:uid="{00000000-0004-0000-0200-00003E000000}"/>
    <hyperlink ref="F65" r:id="rId64" xr:uid="{00000000-0004-0000-0200-00003F000000}"/>
    <hyperlink ref="F66" r:id="rId65" xr:uid="{00000000-0004-0000-0200-000040000000}"/>
    <hyperlink ref="F67" r:id="rId66" xr:uid="{00000000-0004-0000-0200-000041000000}"/>
    <hyperlink ref="F68" r:id="rId67" xr:uid="{00000000-0004-0000-0200-000042000000}"/>
    <hyperlink ref="F69" r:id="rId68" xr:uid="{00000000-0004-0000-0200-000043000000}"/>
    <hyperlink ref="F70" r:id="rId69" xr:uid="{00000000-0004-0000-0200-000044000000}"/>
    <hyperlink ref="F71" r:id="rId70" xr:uid="{00000000-0004-0000-0200-000045000000}"/>
    <hyperlink ref="F72" r:id="rId71" xr:uid="{00000000-0004-0000-0200-000046000000}"/>
    <hyperlink ref="F73" r:id="rId72" xr:uid="{00000000-0004-0000-0200-000047000000}"/>
    <hyperlink ref="F74" r:id="rId73" xr:uid="{00000000-0004-0000-0200-000048000000}"/>
    <hyperlink ref="F75" r:id="rId74" xr:uid="{00000000-0004-0000-0200-000049000000}"/>
    <hyperlink ref="F76" r:id="rId75" xr:uid="{00000000-0004-0000-0200-00004A000000}"/>
    <hyperlink ref="F77" r:id="rId76" xr:uid="{00000000-0004-0000-0200-00004B000000}"/>
    <hyperlink ref="F78" r:id="rId77" xr:uid="{00000000-0004-0000-0200-00004C000000}"/>
    <hyperlink ref="F79" r:id="rId78" xr:uid="{00000000-0004-0000-0200-00004D000000}"/>
    <hyperlink ref="F80" r:id="rId79" xr:uid="{00000000-0004-0000-0200-00004E000000}"/>
    <hyperlink ref="F81" r:id="rId80" xr:uid="{00000000-0004-0000-0200-00004F000000}"/>
    <hyperlink ref="F82" r:id="rId81" xr:uid="{00000000-0004-0000-0200-000050000000}"/>
    <hyperlink ref="F83" r:id="rId82" xr:uid="{00000000-0004-0000-0200-000051000000}"/>
    <hyperlink ref="F84" r:id="rId83" xr:uid="{00000000-0004-0000-0200-000052000000}"/>
    <hyperlink ref="F85" r:id="rId84" xr:uid="{00000000-0004-0000-0200-000053000000}"/>
    <hyperlink ref="F86" r:id="rId85" xr:uid="{00000000-0004-0000-0200-000054000000}"/>
    <hyperlink ref="F87" r:id="rId86" xr:uid="{00000000-0004-0000-0200-000055000000}"/>
    <hyperlink ref="F88" r:id="rId87" xr:uid="{00000000-0004-0000-0200-000056000000}"/>
    <hyperlink ref="F89" r:id="rId88" xr:uid="{00000000-0004-0000-0200-000057000000}"/>
    <hyperlink ref="F90" r:id="rId89" xr:uid="{00000000-0004-0000-0200-000058000000}"/>
    <hyperlink ref="F91" r:id="rId90" xr:uid="{00000000-0004-0000-0200-000059000000}"/>
    <hyperlink ref="F92" r:id="rId91" xr:uid="{00000000-0004-0000-0200-00005A000000}"/>
    <hyperlink ref="F93" r:id="rId92" xr:uid="{00000000-0004-0000-0200-00005B000000}"/>
    <hyperlink ref="F94" r:id="rId93" xr:uid="{00000000-0004-0000-0200-00005C000000}"/>
    <hyperlink ref="F95" r:id="rId94" xr:uid="{00000000-0004-0000-0200-00005D000000}"/>
    <hyperlink ref="F96" r:id="rId95" xr:uid="{00000000-0004-0000-0200-00005E000000}"/>
    <hyperlink ref="F97" r:id="rId96" xr:uid="{00000000-0004-0000-0200-00005F000000}"/>
    <hyperlink ref="F98" r:id="rId97" xr:uid="{00000000-0004-0000-0200-000060000000}"/>
    <hyperlink ref="F99" r:id="rId98" xr:uid="{00000000-0004-0000-0200-000061000000}"/>
    <hyperlink ref="F100" r:id="rId99" xr:uid="{00000000-0004-0000-0200-000062000000}"/>
    <hyperlink ref="F101" r:id="rId100" xr:uid="{00000000-0004-0000-0200-000063000000}"/>
    <hyperlink ref="F102" r:id="rId101" xr:uid="{00000000-0004-0000-0200-000064000000}"/>
    <hyperlink ref="F103" r:id="rId102" xr:uid="{00000000-0004-0000-0200-000065000000}"/>
    <hyperlink ref="F104" r:id="rId103" xr:uid="{00000000-0004-0000-0200-000066000000}"/>
    <hyperlink ref="F105" r:id="rId104" xr:uid="{00000000-0004-0000-0200-000067000000}"/>
    <hyperlink ref="F106" r:id="rId105" xr:uid="{00000000-0004-0000-0200-000068000000}"/>
    <hyperlink ref="F107" r:id="rId106" xr:uid="{00000000-0004-0000-0200-000069000000}"/>
    <hyperlink ref="F108" r:id="rId107" xr:uid="{00000000-0004-0000-0200-00006A000000}"/>
    <hyperlink ref="F109" r:id="rId108" xr:uid="{00000000-0004-0000-0200-00006B000000}"/>
    <hyperlink ref="F110" r:id="rId109" xr:uid="{00000000-0004-0000-0200-00006C000000}"/>
    <hyperlink ref="F111" r:id="rId110" xr:uid="{00000000-0004-0000-0200-00006D000000}"/>
    <hyperlink ref="F112" r:id="rId111" xr:uid="{00000000-0004-0000-0200-00006E000000}"/>
    <hyperlink ref="F113" r:id="rId112" xr:uid="{00000000-0004-0000-0200-00006F000000}"/>
    <hyperlink ref="F114" r:id="rId113" xr:uid="{00000000-0004-0000-0200-000070000000}"/>
    <hyperlink ref="F115" r:id="rId114" xr:uid="{00000000-0004-0000-0200-000071000000}"/>
    <hyperlink ref="F116" r:id="rId115" xr:uid="{00000000-0004-0000-0200-000072000000}"/>
    <hyperlink ref="F117" r:id="rId116" xr:uid="{00000000-0004-0000-0200-000073000000}"/>
    <hyperlink ref="F118" r:id="rId117" xr:uid="{00000000-0004-0000-0200-000074000000}"/>
    <hyperlink ref="F119" r:id="rId118" xr:uid="{00000000-0004-0000-0200-000075000000}"/>
    <hyperlink ref="F120" r:id="rId119" xr:uid="{00000000-0004-0000-0200-000076000000}"/>
    <hyperlink ref="F121" r:id="rId120" xr:uid="{00000000-0004-0000-0200-000077000000}"/>
    <hyperlink ref="F122" r:id="rId121" xr:uid="{00000000-0004-0000-0200-000078000000}"/>
    <hyperlink ref="F123" r:id="rId122" xr:uid="{00000000-0004-0000-0200-000079000000}"/>
    <hyperlink ref="F124" r:id="rId123" xr:uid="{00000000-0004-0000-0200-00007A000000}"/>
    <hyperlink ref="F125" r:id="rId124" xr:uid="{00000000-0004-0000-0200-00007B000000}"/>
    <hyperlink ref="F126" r:id="rId125" xr:uid="{00000000-0004-0000-0200-00007C000000}"/>
    <hyperlink ref="F127" r:id="rId126" xr:uid="{00000000-0004-0000-0200-00007D000000}"/>
    <hyperlink ref="F128" r:id="rId127" xr:uid="{00000000-0004-0000-0200-00007E000000}"/>
    <hyperlink ref="F129" r:id="rId128" xr:uid="{00000000-0004-0000-0200-00007F000000}"/>
    <hyperlink ref="F130" r:id="rId129" xr:uid="{00000000-0004-0000-0200-000080000000}"/>
    <hyperlink ref="F131" r:id="rId130" xr:uid="{00000000-0004-0000-0200-000081000000}"/>
    <hyperlink ref="F132" r:id="rId131" xr:uid="{00000000-0004-0000-0200-000082000000}"/>
    <hyperlink ref="F133" r:id="rId132" xr:uid="{00000000-0004-0000-0200-000083000000}"/>
    <hyperlink ref="F134" r:id="rId133" xr:uid="{00000000-0004-0000-0200-000084000000}"/>
    <hyperlink ref="F135" r:id="rId134" xr:uid="{00000000-0004-0000-0200-000085000000}"/>
    <hyperlink ref="F136" r:id="rId135" xr:uid="{00000000-0004-0000-0200-000086000000}"/>
    <hyperlink ref="F137" r:id="rId136" xr:uid="{00000000-0004-0000-0200-000087000000}"/>
    <hyperlink ref="F138" r:id="rId137" xr:uid="{00000000-0004-0000-0200-000088000000}"/>
    <hyperlink ref="F139" r:id="rId138" xr:uid="{00000000-0004-0000-0200-000089000000}"/>
    <hyperlink ref="F140" r:id="rId139" xr:uid="{00000000-0004-0000-0200-00008A000000}"/>
    <hyperlink ref="F141" r:id="rId140" xr:uid="{00000000-0004-0000-0200-00008B000000}"/>
    <hyperlink ref="F142" r:id="rId141" xr:uid="{00000000-0004-0000-0200-00008C000000}"/>
    <hyperlink ref="F143" r:id="rId142" xr:uid="{00000000-0004-0000-0200-00008D000000}"/>
    <hyperlink ref="F144" r:id="rId143" xr:uid="{00000000-0004-0000-0200-00008E000000}"/>
    <hyperlink ref="F145" r:id="rId144" xr:uid="{00000000-0004-0000-0200-00008F000000}"/>
    <hyperlink ref="F146" r:id="rId145" xr:uid="{00000000-0004-0000-0200-000090000000}"/>
    <hyperlink ref="F147" r:id="rId146" xr:uid="{00000000-0004-0000-0200-000091000000}"/>
    <hyperlink ref="F148" r:id="rId147" xr:uid="{00000000-0004-0000-0200-000092000000}"/>
    <hyperlink ref="F149" r:id="rId148" xr:uid="{00000000-0004-0000-0200-000093000000}"/>
    <hyperlink ref="F150" r:id="rId149" xr:uid="{00000000-0004-0000-0200-000094000000}"/>
    <hyperlink ref="F151" r:id="rId150" xr:uid="{00000000-0004-0000-0200-000095000000}"/>
    <hyperlink ref="F152" r:id="rId151" xr:uid="{00000000-0004-0000-0200-000096000000}"/>
    <hyperlink ref="F153" r:id="rId152" xr:uid="{00000000-0004-0000-0200-000097000000}"/>
    <hyperlink ref="F154" r:id="rId153" xr:uid="{00000000-0004-0000-0200-000098000000}"/>
    <hyperlink ref="F155" r:id="rId154" xr:uid="{00000000-0004-0000-0200-000099000000}"/>
    <hyperlink ref="F156" r:id="rId155" xr:uid="{00000000-0004-0000-0200-00009A000000}"/>
    <hyperlink ref="F157" r:id="rId156" xr:uid="{00000000-0004-0000-0200-00009B000000}"/>
    <hyperlink ref="F158" r:id="rId157" xr:uid="{00000000-0004-0000-0200-00009C000000}"/>
    <hyperlink ref="F159" r:id="rId158" xr:uid="{00000000-0004-0000-0200-00009D000000}"/>
    <hyperlink ref="F160" r:id="rId159" xr:uid="{00000000-0004-0000-0200-00009E000000}"/>
    <hyperlink ref="F161" r:id="rId160" xr:uid="{00000000-0004-0000-0200-00009F000000}"/>
    <hyperlink ref="F162" r:id="rId161" xr:uid="{00000000-0004-0000-0200-0000A0000000}"/>
    <hyperlink ref="F163" r:id="rId162" xr:uid="{00000000-0004-0000-0200-0000A1000000}"/>
    <hyperlink ref="F164" r:id="rId163" xr:uid="{00000000-0004-0000-0200-0000A2000000}"/>
    <hyperlink ref="F165" r:id="rId164" xr:uid="{00000000-0004-0000-0200-0000A3000000}"/>
    <hyperlink ref="F166" r:id="rId165" xr:uid="{00000000-0004-0000-0200-0000A4000000}"/>
    <hyperlink ref="F167" r:id="rId166" xr:uid="{00000000-0004-0000-0200-0000A5000000}"/>
    <hyperlink ref="F168" r:id="rId167" xr:uid="{00000000-0004-0000-0200-0000A6000000}"/>
    <hyperlink ref="F169" r:id="rId168" xr:uid="{00000000-0004-0000-0200-0000A7000000}"/>
    <hyperlink ref="F170" r:id="rId169" xr:uid="{00000000-0004-0000-0200-0000A8000000}"/>
    <hyperlink ref="F171" r:id="rId170" xr:uid="{00000000-0004-0000-0200-0000A9000000}"/>
    <hyperlink ref="F172" r:id="rId171" xr:uid="{00000000-0004-0000-0200-0000AA000000}"/>
    <hyperlink ref="F173" r:id="rId172" xr:uid="{00000000-0004-0000-0200-0000AB000000}"/>
    <hyperlink ref="F174" r:id="rId173" xr:uid="{00000000-0004-0000-0200-0000AC000000}"/>
    <hyperlink ref="F175" r:id="rId174" xr:uid="{00000000-0004-0000-0200-0000AD000000}"/>
    <hyperlink ref="F176" r:id="rId175" xr:uid="{00000000-0004-0000-0200-0000AE000000}"/>
    <hyperlink ref="F177" r:id="rId176" xr:uid="{00000000-0004-0000-0200-0000AF000000}"/>
    <hyperlink ref="F178" r:id="rId177" xr:uid="{00000000-0004-0000-0200-0000B0000000}"/>
    <hyperlink ref="F179" r:id="rId178" xr:uid="{00000000-0004-0000-0200-0000B1000000}"/>
    <hyperlink ref="F180" r:id="rId179" xr:uid="{00000000-0004-0000-0200-0000B2000000}"/>
    <hyperlink ref="F181" r:id="rId180" xr:uid="{00000000-0004-0000-0200-0000B3000000}"/>
    <hyperlink ref="F182" r:id="rId181" xr:uid="{00000000-0004-0000-0200-0000B4000000}"/>
    <hyperlink ref="F183" r:id="rId182" xr:uid="{00000000-0004-0000-0200-0000B5000000}"/>
    <hyperlink ref="F184" r:id="rId183" xr:uid="{00000000-0004-0000-0200-0000B6000000}"/>
    <hyperlink ref="F185" r:id="rId184" xr:uid="{00000000-0004-0000-0200-0000B7000000}"/>
    <hyperlink ref="F186" r:id="rId185" xr:uid="{00000000-0004-0000-0200-0000B8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Para llamar</vt:lpstr>
      <vt:lpstr>Para visitar</vt:lpstr>
      <vt:lpstr>'Para llamar'!Print_Titles</vt:lpstr>
      <vt:lpstr>'Para visitar'!Print_Titles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Lavanderías para invitar a Lavandi</dc:title>
  <dc:creator>Nazmelia</dc:creator>
  <cp:lastModifiedBy>Admin</cp:lastModifiedBy>
  <dcterms:created xsi:type="dcterms:W3CDTF">2026-10-17T22:21:34Z</dcterms:created>
  <dcterms:modified xsi:type="dcterms:W3CDTF">2026-10-17T22:21:38Z</dcterms:modified>
</cp:coreProperties>
</file>