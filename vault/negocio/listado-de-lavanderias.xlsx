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Proyectos\nsv-lavanderia\vault\negocio\"/>
    </mc:Choice>
  </mc:AlternateContent>
  <xr:revisionPtr revIDLastSave="0" documentId="13_ncr:1_{B57E7DFA-EA50-4D89-B0AB-6D7CFBB78222}" xr6:coauthVersionLast="41" xr6:coauthVersionMax="41" xr10:uidLastSave="{00000000-0000-0000-0000-000000000000}"/>
  <bookViews>
    <workbookView xWindow="768" yWindow="768" windowWidth="17280" windowHeight="8880" xr2:uid="{00000000-000D-0000-FFFF-FFFF00000000}"/>
  </bookViews>
  <sheets>
    <sheet name="Léeme" sheetId="1" r:id="rId1"/>
    <sheet name="Resumen" sheetId="2" r:id="rId2"/>
    <sheet name="Por municipio" sheetId="3" r:id="rId3"/>
    <sheet name="Listado" sheetId="4" r:id="rId4"/>
    <sheet name="Otras posibles" sheetId="5" r:id="rId5"/>
  </sheets>
  <definedNames>
    <definedName name="_xlnm._FilterDatabase" localSheetId="3" hidden="1">Listado!$A$1:$U$416</definedName>
  </definedNames>
  <calcPr calcId="191029"/>
</workbook>
</file>

<file path=xl/calcChain.xml><?xml version="1.0" encoding="utf-8"?>
<calcChain xmlns="http://schemas.openxmlformats.org/spreadsheetml/2006/main">
  <c r="D31" i="3" l="1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K10" i="2" s="1"/>
  <c r="J5" i="2"/>
  <c r="J10" i="2" s="1"/>
  <c r="I5" i="2"/>
  <c r="I10" i="2" s="1"/>
  <c r="H5" i="2"/>
  <c r="H10" i="2" s="1"/>
  <c r="G5" i="2"/>
  <c r="G10" i="2" s="1"/>
  <c r="F5" i="2"/>
  <c r="F10" i="2" s="1"/>
  <c r="E5" i="2"/>
  <c r="E10" i="2" s="1"/>
  <c r="D5" i="2"/>
  <c r="D10" i="2" s="1"/>
  <c r="C5" i="2"/>
  <c r="C10" i="2" s="1"/>
  <c r="B5" i="2"/>
  <c r="B10" i="2" s="1"/>
</calcChain>
</file>

<file path=xl/sharedStrings.xml><?xml version="1.0" encoding="utf-8"?>
<sst xmlns="http://schemas.openxmlformats.org/spreadsheetml/2006/main" count="5085" uniqueCount="2056">
  <si>
    <t>Lavanderías y tintorerías del territorio</t>
  </si>
  <si>
    <t>Todo el estado de Durango, más Torreón y Matamoros, Coahuila. Preparado por Nazmelia.</t>
  </si>
  <si>
    <t>Qué es este archivo</t>
  </si>
  <si>
    <t>La lista de los 415 negocios de lavandería y tintorería que el INEGI tiene registrados en el territorio, con su dirección, teléfono, correo y página cuando el INEGI los tiene.</t>
  </si>
  <si>
    <t>Sirve para buscar lavanderías socias: a quién llamar, en qué zona y cómo va cada llamada.</t>
  </si>
  <si>
    <t>De dónde salen los datos</t>
  </si>
  <si>
    <t>Del Directorio Estadístico Nacional de Unidades Económicas del INEGI, en su edición más reciente, actividad «Lavanderías y tintorerías».</t>
  </si>
  <si>
    <t>Es un registro público y oficial. Los datos los capturó el INEGI; nosotros solo los ordenamos y los dejamos listos para usar.</t>
  </si>
  <si>
    <t>Qué hay en cada hoja</t>
  </si>
  <si>
    <t>Resumen: cuántos negocios hay en cada plaza y cuántos tienen teléfono, correo o página. También lleva la cuenta de las llamadas.</t>
  </si>
  <si>
    <t>Por municipio: lo mismo, municipio por municipio.</t>
  </si>
  <si>
    <t>Listado: un negocio por renglón. Se puede filtrar por plaza, municipio o colonia con las flechas del encabezado.</t>
  </si>
  <si>
    <t>Otras posibles: negocios que el INEGI registró con otra actividad pero cuyo nombre dice lavandería o tintorería. Vale la pena revisarlos aparte.</t>
  </si>
  <si>
    <t>Cómo registrar las llamadas</t>
  </si>
  <si>
    <t>En la hoja Listado, las tres columnas amarillas del final son para llenarse a mano:</t>
  </si>
  <si>
    <t xml:space="preserve">   «¿Ya se le llamó?»: elegir Sí o No.</t>
  </si>
  <si>
    <t xml:space="preserve">   «Resultado de la llamada»: elegir una opción de la lista (Le interesa, Quiere más información, No le interesa, No contestó, Número equivocado, Ya cerró).</t>
  </si>
  <si>
    <t xml:space="preserve">   «Notas»: texto libre. Ejemplo: «Habló con la dueña, Sra. López. Lava por kilo, ya entrega a domicilio. Volver a llamar el lunes».</t>
  </si>
  <si>
    <t>El Resumen se actualiza solo con lo que se marque ahí.</t>
  </si>
  <si>
    <t>Cuidado con estos datos</t>
  </si>
  <si>
    <t>El registro del INEGI puede estar desfasado: hay negocios que ya cerraron, que cambiaron de teléfono o que abrieron después y todavía no aparecen.</t>
  </si>
  <si>
    <t>185 de 415 no tienen teléfono registrado. Para esos, el enlace «Abrir mapa» lleva a su ubicación y ahí a veces aparece un teléfono más reciente.</t>
  </si>
  <si>
    <t>«Qué es, según su nombre» es una deducción a partir del nombre, no una confirmación.</t>
  </si>
  <si>
    <t>Este archivo no mide si los negocios tienen presencia en internet ni cuántas personas buscan el servicio. Eso se trabaja aparte.</t>
  </si>
  <si>
    <t>Resumen por plaza</t>
  </si>
  <si>
    <t>Las cifras se recalculan solas a partir de la hoja Listado.</t>
  </si>
  <si>
    <t>Plaza</t>
  </si>
  <si>
    <t>Negocios</t>
  </si>
  <si>
    <t>Con teléfono</t>
  </si>
  <si>
    <t>Con correo</t>
  </si>
  <si>
    <t>Con página o red social</t>
  </si>
  <si>
    <t>Su nombre dice lavandería</t>
  </si>
  <si>
    <t>Su nombre dice tintorería</t>
  </si>
  <si>
    <t>Su nombre dice planchaduría</t>
  </si>
  <si>
    <t>No se sabe por el nombre</t>
  </si>
  <si>
    <t>Ya se les llamó</t>
  </si>
  <si>
    <t>Les interesa</t>
  </si>
  <si>
    <t>Durango capital</t>
  </si>
  <si>
    <t>Gómez Palacio y Lerdo</t>
  </si>
  <si>
    <t>Torreón</t>
  </si>
  <si>
    <t>Matamoros</t>
  </si>
  <si>
    <t>Resto del estado de Durango</t>
  </si>
  <si>
    <t>Todo el territorio</t>
  </si>
  <si>
    <t>Cómo leer este resumen</t>
  </si>
  <si>
    <t>• «Negocios» cuenta cada local por separado: si un negocio tiene tres sucursales, aparecen tres.</t>
  </si>
  <si>
    <t>• Las columnas «Su nombre dice…» salen solo del nombre del negocio. Un negocio puede contar en más de una (por ejemplo, «Lavandería y planchaduría»), y uno que solo dice «Lavandería» puede también planchar o lavar en seco: se confirma en la llamada.</t>
  </si>
  <si>
    <t>• «Ya se les llamó» y «Les interesa» se llenan solas cuando alguien marca esas columnas en la hoja Listado.</t>
  </si>
  <si>
    <t>Negocios por municipio</t>
  </si>
  <si>
    <t>Ordenados de mayor a menor.</t>
  </si>
  <si>
    <t>Municipio</t>
  </si>
  <si>
    <t>Durango</t>
  </si>
  <si>
    <t>Gómez Palacio</t>
  </si>
  <si>
    <t>Lerdo</t>
  </si>
  <si>
    <t>Santiago Papasquiaro</t>
  </si>
  <si>
    <t>Guadalupe Victoria</t>
  </si>
  <si>
    <t>Canatlán</t>
  </si>
  <si>
    <t>Nuevo Ideal</t>
  </si>
  <si>
    <t>Poanas</t>
  </si>
  <si>
    <t>Cuencamé</t>
  </si>
  <si>
    <t>Pueblo Nuevo</t>
  </si>
  <si>
    <t>Rodeo</t>
  </si>
  <si>
    <t>Vicente Guerrero</t>
  </si>
  <si>
    <t>El Oro</t>
  </si>
  <si>
    <t>Mapimí</t>
  </si>
  <si>
    <t>Mezquital</t>
  </si>
  <si>
    <t>Nombre de Dios</t>
  </si>
  <si>
    <t>Ocampo</t>
  </si>
  <si>
    <t>Pánuco de Coronado</t>
  </si>
  <si>
    <t>Tepehuanes</t>
  </si>
  <si>
    <t>Guanaceví</t>
  </si>
  <si>
    <t>Nazas</t>
  </si>
  <si>
    <t>San Dimas</t>
  </si>
  <si>
    <t>San Juan del Río</t>
  </si>
  <si>
    <t>Tamazula</t>
  </si>
  <si>
    <t>Tlahualilo</t>
  </si>
  <si>
    <t>N.º</t>
  </si>
  <si>
    <t>Localidad</t>
  </si>
  <si>
    <t>Nombre del negocio</t>
  </si>
  <si>
    <t>Razón social</t>
  </si>
  <si>
    <t>Qué es, según su nombre</t>
  </si>
  <si>
    <t>Personas que trabajan ahí</t>
  </si>
  <si>
    <t>Calle y número</t>
  </si>
  <si>
    <t>Colonia</t>
  </si>
  <si>
    <t>Código postal</t>
  </si>
  <si>
    <t>Teléfono</t>
  </si>
  <si>
    <t>Correo</t>
  </si>
  <si>
    <t>Página web o red social</t>
  </si>
  <si>
    <t>Ver en el mapa</t>
  </si>
  <si>
    <t>Latitud</t>
  </si>
  <si>
    <t>Longitud</t>
  </si>
  <si>
    <t>Clave del INEGI</t>
  </si>
  <si>
    <t>¿Ya se le llamó?</t>
  </si>
  <si>
    <t>Resultado de la llamada</t>
  </si>
  <si>
    <t>Notas</t>
  </si>
  <si>
    <t>Victoria de Durango</t>
  </si>
  <si>
    <t>BEE LAVANDERIA &amp; PLANCHADO</t>
  </si>
  <si>
    <t>Lavandería y planchaduría</t>
  </si>
  <si>
    <t>0 a 5 personas</t>
  </si>
  <si>
    <t>Avenida Nuevo Durango 440</t>
  </si>
  <si>
    <t>Fraccionamiento Nuevo Durango I</t>
  </si>
  <si>
    <t>34166</t>
  </si>
  <si>
    <t>Abrir mapa</t>
  </si>
  <si>
    <t>10356245</t>
  </si>
  <si>
    <t>CENTRO DE LAVADO Y SECADO DE ROPA</t>
  </si>
  <si>
    <t>Lavandería</t>
  </si>
  <si>
    <t>Avenida Division Durango 800</t>
  </si>
  <si>
    <t>Fraccionamiento Domingo Arrieta</t>
  </si>
  <si>
    <t>34180</t>
  </si>
  <si>
    <t>1083064</t>
  </si>
  <si>
    <t>CENTRO DE LAVANDERIA Y PLACHADURIA</t>
  </si>
  <si>
    <t>Avenida Cuauhtemoc 608</t>
  </si>
  <si>
    <t>Fraccionamiento Huizache I</t>
  </si>
  <si>
    <t>34160</t>
  </si>
  <si>
    <t>618 131 6733</t>
  </si>
  <si>
    <t>10089801</t>
  </si>
  <si>
    <t>CICLOS PLANCHADO</t>
  </si>
  <si>
    <t>Planchaduría</t>
  </si>
  <si>
    <t>Calle 5 De Febrero 1502 A</t>
  </si>
  <si>
    <t>Colonia Burócrata</t>
  </si>
  <si>
    <t>34279</t>
  </si>
  <si>
    <t>552 726 7858</t>
  </si>
  <si>
    <t>barrazamontse966@gmail.com</t>
  </si>
  <si>
    <t>8605159</t>
  </si>
  <si>
    <t>CLEAN FASHION</t>
  </si>
  <si>
    <t>Prolongacion Nazas sin número</t>
  </si>
  <si>
    <t>1117866</t>
  </si>
  <si>
    <t>ECOCLEAN</t>
  </si>
  <si>
    <t>Calle Año De Juarez 211</t>
  </si>
  <si>
    <t>Fraccionamiento Guadalupe Victoria Infonavit</t>
  </si>
  <si>
    <t>34220</t>
  </si>
  <si>
    <t>10485449</t>
  </si>
  <si>
    <t>ESTRELLAS DE LA LIMPIEZA</t>
  </si>
  <si>
    <t>Q R LAS ESTRELLAS DE LA LIMPIEZA</t>
  </si>
  <si>
    <t>Corredor Felipe Pescador 25</t>
  </si>
  <si>
    <t>Colonia Del Maestro</t>
  </si>
  <si>
    <t>34240</t>
  </si>
  <si>
    <t>11116366</t>
  </si>
  <si>
    <t>EVERCLEAN LAVANDERIA</t>
  </si>
  <si>
    <t>Avenida Sahuatoba 216, Plaza Lomas</t>
  </si>
  <si>
    <t>Fraccionamiento Lomas Del Parque</t>
  </si>
  <si>
    <t>34108</t>
  </si>
  <si>
    <t>cmme65@prodigy.net.mx</t>
  </si>
  <si>
    <t>7258753</t>
  </si>
  <si>
    <t>Cinco de Mayo</t>
  </si>
  <si>
    <t>FRESH CLEAN LAVANDERIA</t>
  </si>
  <si>
    <t>Prolongacion Francisco Villa 208</t>
  </si>
  <si>
    <t>Pueblo 5 De Mayo</t>
  </si>
  <si>
    <t>34304</t>
  </si>
  <si>
    <t>11829493</t>
  </si>
  <si>
    <t>KLIN LAVANDERIA</t>
  </si>
  <si>
    <t>Boulevard Instituto Politecnico Nacional sin número</t>
  </si>
  <si>
    <t>Fraccionamiento Camino Real</t>
  </si>
  <si>
    <t>34170</t>
  </si>
  <si>
    <t>618 310 2020</t>
  </si>
  <si>
    <t>www.klino.mx</t>
  </si>
  <si>
    <t>8519619</t>
  </si>
  <si>
    <t>KLINO LAVANDERIAS</t>
  </si>
  <si>
    <t>Boulevard De La Juventud sin número</t>
  </si>
  <si>
    <t>Colonia Luis Echeverría</t>
  </si>
  <si>
    <t>34250</t>
  </si>
  <si>
    <t>9775134</t>
  </si>
  <si>
    <t>Boulevard Durango sin número</t>
  </si>
  <si>
    <t>Colonia Sarh</t>
  </si>
  <si>
    <t>klinolavanderias@gmail.com</t>
  </si>
  <si>
    <t>7258747</t>
  </si>
  <si>
    <t>LAVA FACIL LAVANDERIA</t>
  </si>
  <si>
    <t>Circuito Palenque 308</t>
  </si>
  <si>
    <t>618 231 9152</t>
  </si>
  <si>
    <t>1094784</t>
  </si>
  <si>
    <t>LAVA NUBES</t>
  </si>
  <si>
    <t>Avenida Resplandor 200 C</t>
  </si>
  <si>
    <t>Fraccionamiento Las Nubes</t>
  </si>
  <si>
    <t>34224</t>
  </si>
  <si>
    <t>618 819 2093</t>
  </si>
  <si>
    <t>7265074</t>
  </si>
  <si>
    <t>LAVA PLANCH</t>
  </si>
  <si>
    <t>Circuito Chamula 734 B</t>
  </si>
  <si>
    <t>618 211 4235</t>
  </si>
  <si>
    <t>7404294</t>
  </si>
  <si>
    <t>LAVADO Y PLANCHADO REAL</t>
  </si>
  <si>
    <t>Calle Guadalajara 633, interior 2</t>
  </si>
  <si>
    <t>Fraccionamiento Jalisco</t>
  </si>
  <si>
    <t>1113993</t>
  </si>
  <si>
    <t>LAVAMATIC</t>
  </si>
  <si>
    <t>Calle Constituyentes 705</t>
  </si>
  <si>
    <t>Fraccionamiento Las Fuentes</t>
  </si>
  <si>
    <t>1083549</t>
  </si>
  <si>
    <t>LAVANDERIA</t>
  </si>
  <si>
    <t>Calle Camino De Los Castillos 252</t>
  </si>
  <si>
    <t>Fraccionamiento Paso Real</t>
  </si>
  <si>
    <t>34204</t>
  </si>
  <si>
    <t>11116777</t>
  </si>
  <si>
    <t>Calle Carlos Santamaria sin número</t>
  </si>
  <si>
    <t>Colonia Héctor Mayagoitia Domínguez</t>
  </si>
  <si>
    <t>34010</t>
  </si>
  <si>
    <t>10083846</t>
  </si>
  <si>
    <t>LAVANDERIA ALEXJOS</t>
  </si>
  <si>
    <t>Boulevard Jose Maria Patoni 406</t>
  </si>
  <si>
    <t>Colonia José Revueltas</t>
  </si>
  <si>
    <t>34219</t>
  </si>
  <si>
    <t>618 230 9042</t>
  </si>
  <si>
    <t>7424397</t>
  </si>
  <si>
    <t>LAVANDERIA ALICIA</t>
  </si>
  <si>
    <t>Avenida Coronel Enrique Carrola Antuna 1203 B</t>
  </si>
  <si>
    <t>Colonia J. Guadalupe Rodríguez</t>
  </si>
  <si>
    <t>34280</t>
  </si>
  <si>
    <t>618 257 8082</t>
  </si>
  <si>
    <t>7319356</t>
  </si>
  <si>
    <t>LAVANDERIA AMERICA</t>
  </si>
  <si>
    <t>Boulevard Licenciado Armando Del Castillo Franco 136</t>
  </si>
  <si>
    <t>34100</t>
  </si>
  <si>
    <t>1082692</t>
  </si>
  <si>
    <t>LAVANDERIA ANGY</t>
  </si>
  <si>
    <t>Calle Del Guadiana sin número</t>
  </si>
  <si>
    <t>Fraccionamiento Valle Oriente</t>
  </si>
  <si>
    <t>11165699</t>
  </si>
  <si>
    <t>LAVANDERIA ARCOIRIS</t>
  </si>
  <si>
    <t>Boulevard Domingo Arrieta 511 C</t>
  </si>
  <si>
    <t>Colonia Juan Lira Bracho</t>
  </si>
  <si>
    <t>34188</t>
  </si>
  <si>
    <t>618 256 0481</t>
  </si>
  <si>
    <t>erendy_86@hotmail.com</t>
  </si>
  <si>
    <t>9878860</t>
  </si>
  <si>
    <t>LAVANDERIA AUTOMATICA ALE</t>
  </si>
  <si>
    <t>Avenida General Lazaro Cardenas 232</t>
  </si>
  <si>
    <t>Colonia Real Del Prado</t>
  </si>
  <si>
    <t>34080</t>
  </si>
  <si>
    <t>1080707</t>
  </si>
  <si>
    <t>LAVANDERIA BIEN LIMPIO</t>
  </si>
  <si>
    <t>Avenida Rio De Janeiro 544 A</t>
  </si>
  <si>
    <t>Fraccionamiento Guadalupe</t>
  </si>
  <si>
    <t>mmgrios@hotmail.com</t>
  </si>
  <si>
    <t>7811767</t>
  </si>
  <si>
    <t>LAVANDERIA BLUEWASH</t>
  </si>
  <si>
    <t>Prolongacion Nazas sin número, interior 6</t>
  </si>
  <si>
    <t>Fraccionamiento Santa Teresa</t>
  </si>
  <si>
    <t>7830287</t>
  </si>
  <si>
    <t>LAVANDERIA CLEAN CENTER</t>
  </si>
  <si>
    <t>Calle Hernandez 1525</t>
  </si>
  <si>
    <t>Colonia Zona Centro</t>
  </si>
  <si>
    <t>34000</t>
  </si>
  <si>
    <t>9379618</t>
  </si>
  <si>
    <t>LAVANDERIA COLOR MAGIC</t>
  </si>
  <si>
    <t>GLORIA</t>
  </si>
  <si>
    <t>Calle Orion 1002</t>
  </si>
  <si>
    <t>Fraccionamiento Villas Del Guadiana Iii</t>
  </si>
  <si>
    <t>618 292 7930</t>
  </si>
  <si>
    <t>11458379</t>
  </si>
  <si>
    <t>LAVANDERIA DEL RIO</t>
  </si>
  <si>
    <t>Avenida Coronel Enrique Carrola Antuna sin número</t>
  </si>
  <si>
    <t>Colonia Canela</t>
  </si>
  <si>
    <t>34270</t>
  </si>
  <si>
    <t>10131945</t>
  </si>
  <si>
    <t>LAVANDERIA DERECK</t>
  </si>
  <si>
    <t>Calle Del Atardecer 132</t>
  </si>
  <si>
    <t>Fraccionamiento La Luz</t>
  </si>
  <si>
    <t>34225</t>
  </si>
  <si>
    <t>677 119 8584</t>
  </si>
  <si>
    <t>7264755</t>
  </si>
  <si>
    <t>LAVANDERIA EL NOGAL</t>
  </si>
  <si>
    <t>Calle Francisco Gonzalez De La Vega 105</t>
  </si>
  <si>
    <t>Colonia Iv Centenario</t>
  </si>
  <si>
    <t>34150</t>
  </si>
  <si>
    <t>618 366 2704</t>
  </si>
  <si>
    <t>11723284</t>
  </si>
  <si>
    <t>LAVANDERIA EL TENDERO</t>
  </si>
  <si>
    <t>Calle 50 Aniversario Itd 129 B</t>
  </si>
  <si>
    <t>Fraccionamiento Aserradero</t>
  </si>
  <si>
    <t>34214</t>
  </si>
  <si>
    <t>eltendedederolavanderia.dgo@gmail.com</t>
  </si>
  <si>
    <t>7424420</t>
  </si>
  <si>
    <t>LAVANDERIA ESPUMITA</t>
  </si>
  <si>
    <t>Boulevard Juan Pablo Ii 223</t>
  </si>
  <si>
    <t>Fraccionamiento Jardines De Durango</t>
  </si>
  <si>
    <t>34200</t>
  </si>
  <si>
    <t>9000005</t>
  </si>
  <si>
    <t>LAVANDERIA ESTRELLAS DE LA LIMPIEZA</t>
  </si>
  <si>
    <t>Boulevard Juan Pablo Ii 125</t>
  </si>
  <si>
    <t>9566210</t>
  </si>
  <si>
    <t>LAVANDERIA EVELYN</t>
  </si>
  <si>
    <t>Calle Murallas 115</t>
  </si>
  <si>
    <t>Colonia Villa De Guadalupe</t>
  </si>
  <si>
    <t>34040</t>
  </si>
  <si>
    <t>9360530</t>
  </si>
  <si>
    <t>LAVANDERIA EXPRESS</t>
  </si>
  <si>
    <t>Avenida La Salle 502 B</t>
  </si>
  <si>
    <t>Residencial Colinas Del Saltito</t>
  </si>
  <si>
    <t>34105</t>
  </si>
  <si>
    <t>7259455</t>
  </si>
  <si>
    <t>Prolongacion 20 De Noviembre 408</t>
  </si>
  <si>
    <t>Fraccionamiento Los Duraznos</t>
  </si>
  <si>
    <t>34238</t>
  </si>
  <si>
    <t>1092524</t>
  </si>
  <si>
    <t>Boulevard Hermila Galindo Acosta sin número</t>
  </si>
  <si>
    <t>Residencial Los Pinos</t>
  </si>
  <si>
    <t>34162</t>
  </si>
  <si>
    <t>9354995</t>
  </si>
  <si>
    <t>Calle Zacatecas 206</t>
  </si>
  <si>
    <t>Colonia Morga</t>
  </si>
  <si>
    <t>1077890</t>
  </si>
  <si>
    <t>Avenida Real Del Mezquital sin número</t>
  </si>
  <si>
    <t>Fraccionamiento Real Del Mezquital</t>
  </si>
  <si>
    <t>34199</t>
  </si>
  <si>
    <t>11725040</t>
  </si>
  <si>
    <t>LAVANDERIA GEMMA</t>
  </si>
  <si>
    <t>Calle Sigma 110</t>
  </si>
  <si>
    <t>Fraccionamiento Bosques Del Valle</t>
  </si>
  <si>
    <t>34228</t>
  </si>
  <si>
    <t>1091655</t>
  </si>
  <si>
    <t>LAVANDERIA GRECIA</t>
  </si>
  <si>
    <t>Calle Capricornio 316 A</t>
  </si>
  <si>
    <t>Fraccionamiento Villas Del Guadiana</t>
  </si>
  <si>
    <t>618 815 8320</t>
  </si>
  <si>
    <t>7264767</t>
  </si>
  <si>
    <t>LAVANDERIA GYYS</t>
  </si>
  <si>
    <t>Boulevard De La Juventud 711</t>
  </si>
  <si>
    <t>Colonia Santa Fe</t>
  </si>
  <si>
    <t>618 154 4243</t>
  </si>
  <si>
    <t>11507432</t>
  </si>
  <si>
    <t>LAVANDERIA HAITI</t>
  </si>
  <si>
    <t>Calle Haiti 114</t>
  </si>
  <si>
    <t>1082580</t>
  </si>
  <si>
    <t>LAVANDERIA HIPODDROMO</t>
  </si>
  <si>
    <t>Calle Santiago Papasquiaro 501</t>
  </si>
  <si>
    <t>Colonia Hipódromo</t>
  </si>
  <si>
    <t>34237</t>
  </si>
  <si>
    <t>1088594</t>
  </si>
  <si>
    <t>LAVANDERIA INDEPENDENCIA</t>
  </si>
  <si>
    <t>Calle Independencia 438</t>
  </si>
  <si>
    <t>618 132 2297</t>
  </si>
  <si>
    <t>1084304</t>
  </si>
  <si>
    <t>LAVANDERIA JESSY</t>
  </si>
  <si>
    <t>Calle Santiago Papasquiaro sin número</t>
  </si>
  <si>
    <t>664 302 1715</t>
  </si>
  <si>
    <t>10777376</t>
  </si>
  <si>
    <t>LAVANDERIA LA BRISA</t>
  </si>
  <si>
    <t>Cerrada 3Ra San Martin 113</t>
  </si>
  <si>
    <t>Colonia San Juan</t>
  </si>
  <si>
    <t>34208</t>
  </si>
  <si>
    <t>11678775</t>
  </si>
  <si>
    <t>LAVANDERIA LA BURBUJA</t>
  </si>
  <si>
    <t>Avenida La Salle 136</t>
  </si>
  <si>
    <t>Residencial Paseo Del Saltito</t>
  </si>
  <si>
    <t>1095600</t>
  </si>
  <si>
    <t>Calle Circuito Interior sin número</t>
  </si>
  <si>
    <t>Fraccionamiento Residencial Santa Teresa</t>
  </si>
  <si>
    <t>618 196 8435</t>
  </si>
  <si>
    <t>11642497</t>
  </si>
  <si>
    <t>LAVANDERIA LA BURBUJA AZUL</t>
  </si>
  <si>
    <t>Calle Domingo Arrieta 403 B</t>
  </si>
  <si>
    <t>Colonia Azteca</t>
  </si>
  <si>
    <t>34190</t>
  </si>
  <si>
    <t>618 359 1004</t>
  </si>
  <si>
    <t>9223047</t>
  </si>
  <si>
    <t>LAVANDERIA LA BURBUJA CLEAN</t>
  </si>
  <si>
    <t>Avenida Coronel Enrique Carrola Antuna 111</t>
  </si>
  <si>
    <t>Fraccionamiento Los Álamos</t>
  </si>
  <si>
    <t>34290</t>
  </si>
  <si>
    <t>1117191</t>
  </si>
  <si>
    <t>LAVANDERIA LA BURBUJA FELIZ</t>
  </si>
  <si>
    <t>1081164</t>
  </si>
  <si>
    <t>LAVANDERIA LA CASA DEL LAVADO</t>
  </si>
  <si>
    <t>Calle Joaquín García Pascoe 100</t>
  </si>
  <si>
    <t>Fraccionamiento Los Agaves</t>
  </si>
  <si>
    <t>34227</t>
  </si>
  <si>
    <t>618 188 3843</t>
  </si>
  <si>
    <t>11743554</t>
  </si>
  <si>
    <t>LAVANDERIA LA CASITA</t>
  </si>
  <si>
    <t>Avenida Constelaciones 208</t>
  </si>
  <si>
    <t>Fraccionamiento Nuevo Valle</t>
  </si>
  <si>
    <t>618 364 3946</t>
  </si>
  <si>
    <t>7809660</t>
  </si>
  <si>
    <t>Calle Universidad Autonoma De Durango 113 B</t>
  </si>
  <si>
    <t>6202194</t>
  </si>
  <si>
    <t>LAVANDERIA LA CASITA EXPRESS</t>
  </si>
  <si>
    <t>Avenida Cima 335</t>
  </si>
  <si>
    <t>Fraccionamiento Fstse</t>
  </si>
  <si>
    <t>618 320 2693</t>
  </si>
  <si>
    <t>8594958</t>
  </si>
  <si>
    <t>LAVANDERIA LA COLONIAL</t>
  </si>
  <si>
    <t>Calle Francisco I Madero 249</t>
  </si>
  <si>
    <t>618 138 3761</t>
  </si>
  <si>
    <t>8415193</t>
  </si>
  <si>
    <t>LAVANDERIA LA ESPUMA</t>
  </si>
  <si>
    <t>Calle Belisario Dominguez 522</t>
  </si>
  <si>
    <t>Barrio Hernández</t>
  </si>
  <si>
    <t>34137</t>
  </si>
  <si>
    <t>618 304 1394</t>
  </si>
  <si>
    <t>1083737</t>
  </si>
  <si>
    <t>LAVANDERIA LA LAVADORA</t>
  </si>
  <si>
    <t>Avenida General Vicente Guerrero 306</t>
  </si>
  <si>
    <t>Colonia Insurgentes</t>
  </si>
  <si>
    <t>34130</t>
  </si>
  <si>
    <t>1095278</t>
  </si>
  <si>
    <t>LAVANDERIA LA MODERNA</t>
  </si>
  <si>
    <t>Calle 1450</t>
  </si>
  <si>
    <t>Barrio De Tierra Blanca</t>
  </si>
  <si>
    <t>34139</t>
  </si>
  <si>
    <t>1117179</t>
  </si>
  <si>
    <t>LAVANDERIA LA NIÑA</t>
  </si>
  <si>
    <t>Avenida Jose Antonio Ramirez sin número</t>
  </si>
  <si>
    <t>Fraccionamiento Fidel Velázquez</t>
  </si>
  <si>
    <t>34229</t>
  </si>
  <si>
    <t>618 120 8123</t>
  </si>
  <si>
    <t>11401945</t>
  </si>
  <si>
    <t>LAVANDERIA LA PINZA</t>
  </si>
  <si>
    <t>Avenida Mexico Triunfo 200</t>
  </si>
  <si>
    <t>Fraccionamiento Villas Del Manantial</t>
  </si>
  <si>
    <t>34198</t>
  </si>
  <si>
    <t>10594521</t>
  </si>
  <si>
    <t>LAVANDERIA LA RAPIDITA</t>
  </si>
  <si>
    <t>Avenida José Antonio Ramírez Martínez sin número</t>
  </si>
  <si>
    <t>Fraccionamiento Jardines De San Antonio</t>
  </si>
  <si>
    <t>618 208 7388</t>
  </si>
  <si>
    <t>11747996</t>
  </si>
  <si>
    <t>LAVANDERIA LA VICTORIA</t>
  </si>
  <si>
    <t>Avenida La Salle 112 A</t>
  </si>
  <si>
    <t>9984045</t>
  </si>
  <si>
    <t>LAVANDERIA LAS FLORES</t>
  </si>
  <si>
    <t>Avenida Solidaridad sin número</t>
  </si>
  <si>
    <t>Fraccionamiento Fidel Velázquez Ii</t>
  </si>
  <si>
    <t>10593547</t>
  </si>
  <si>
    <t>Avenida Coronel Enrique Carrola Antuna 715</t>
  </si>
  <si>
    <t>Condominio Ciénega</t>
  </si>
  <si>
    <t>34090</t>
  </si>
  <si>
    <t>10712356</t>
  </si>
  <si>
    <t>LAVANDERIA LAUNDRY DAY</t>
  </si>
  <si>
    <t>Circuito Litio 118</t>
  </si>
  <si>
    <t>Fraccionamiento Ciudad Industrial</t>
  </si>
  <si>
    <t>618 131 4858</t>
  </si>
  <si>
    <t>9157589</t>
  </si>
  <si>
    <t>LAVANDERIA LAVA MAR</t>
  </si>
  <si>
    <t>Calle Providencia 132</t>
  </si>
  <si>
    <t>Colonia Santa María</t>
  </si>
  <si>
    <t>34050</t>
  </si>
  <si>
    <t>618 332 6320</t>
  </si>
  <si>
    <t>10141678</t>
  </si>
  <si>
    <t>LAVANDERIA LAVA MASS</t>
  </si>
  <si>
    <t>6 a 10 personas</t>
  </si>
  <si>
    <t>Avenida Fidel Velazquez Sanchez 213</t>
  </si>
  <si>
    <t>618 145 1494</t>
  </si>
  <si>
    <t>1092427</t>
  </si>
  <si>
    <t>LAVANDERIA LAVA PLUS</t>
  </si>
  <si>
    <t>Calle Providencia 612 A</t>
  </si>
  <si>
    <t>618 259 0778</t>
  </si>
  <si>
    <t>10322320</t>
  </si>
  <si>
    <t>LAVANDERIA LAVAFACIL</t>
  </si>
  <si>
    <t>Calle Colima 900 D</t>
  </si>
  <si>
    <t>Colonia Valle Del Guadiana</t>
  </si>
  <si>
    <t>618 183 6722</t>
  </si>
  <si>
    <t>7193376</t>
  </si>
  <si>
    <t>LAVANDERIA LAVAMASS</t>
  </si>
  <si>
    <t>Avenida Plan De Agua Prieta sin número</t>
  </si>
  <si>
    <t>Colonia Emiliano Zapata</t>
  </si>
  <si>
    <t>34230</t>
  </si>
  <si>
    <t>gabytavh@hotmail.com</t>
  </si>
  <si>
    <t>1083170</t>
  </si>
  <si>
    <t>LAVANDERIA LAVAMPAC</t>
  </si>
  <si>
    <t>Avenida Fidel Velazquez Sanchez 226</t>
  </si>
  <si>
    <t>618 361 9245</t>
  </si>
  <si>
    <t>9155960</t>
  </si>
  <si>
    <t>LAVANDERIA LAVI</t>
  </si>
  <si>
    <t>Calle Aquiles Serdan 706</t>
  </si>
  <si>
    <t>34006</t>
  </si>
  <si>
    <t>8640240</t>
  </si>
  <si>
    <t>LAVANDERIA LIMPIO Y SECO</t>
  </si>
  <si>
    <t>Calle Predio De Las Peñas sin número</t>
  </si>
  <si>
    <t>Fraccionamiento Villas De San Francisco</t>
  </si>
  <si>
    <t>34287</t>
  </si>
  <si>
    <t>618 333 0676</t>
  </si>
  <si>
    <t>11741729</t>
  </si>
  <si>
    <t>LAVANDERIA LIMPIZIMO</t>
  </si>
  <si>
    <t>Prolongacion Nazas 806 E</t>
  </si>
  <si>
    <t>Colonia Los Sauces</t>
  </si>
  <si>
    <t>34165</t>
  </si>
  <si>
    <t>618 100 7805</t>
  </si>
  <si>
    <t>jarib15@hotmail.com</t>
  </si>
  <si>
    <t>1094545</t>
  </si>
  <si>
    <t>LAVANDERIA LOS REMEDIOS</t>
  </si>
  <si>
    <t>Avenida Los Remedios 609</t>
  </si>
  <si>
    <t>Fraccionamiento Los Remedios</t>
  </si>
  <si>
    <t>618 144 4101</t>
  </si>
  <si>
    <t>1083641</t>
  </si>
  <si>
    <t>LAVANDERIA LUCA</t>
  </si>
  <si>
    <t>Boulevard Vialidad Mazada 113, interior 11</t>
  </si>
  <si>
    <t>Fraccionamiento Privadas Del Guadiana</t>
  </si>
  <si>
    <t>34109</t>
  </si>
  <si>
    <t>618 273 6439</t>
  </si>
  <si>
    <t>11297437</t>
  </si>
  <si>
    <t>LAVANDERIA MAGI</t>
  </si>
  <si>
    <t>Calle Zarco 200 A</t>
  </si>
  <si>
    <t>1078992</t>
  </si>
  <si>
    <t>LAVANDERIA MI ESPERANZA</t>
  </si>
  <si>
    <t>Calle Chapultepec 103</t>
  </si>
  <si>
    <t>Fraccionamiento Benito Juárez</t>
  </si>
  <si>
    <t>34167</t>
  </si>
  <si>
    <t>618 309 1006</t>
  </si>
  <si>
    <t>7319627</t>
  </si>
  <si>
    <t>LAVANDERIA MISS CLEAN</t>
  </si>
  <si>
    <t>Calle Ana Leyva 216, Residencias Las Torres</t>
  </si>
  <si>
    <t>Colonia Nueva Vizcaya</t>
  </si>
  <si>
    <t>618 304 8904</t>
  </si>
  <si>
    <t>zoeluna7275@gmail.com</t>
  </si>
  <si>
    <t>8641103</t>
  </si>
  <si>
    <t>LAVANDERIA MODERNA</t>
  </si>
  <si>
    <t>Avenida Sahuatoba 224, Punto Guadiana</t>
  </si>
  <si>
    <t>Fraccionamiento Loma Dorada</t>
  </si>
  <si>
    <t>8629751</t>
  </si>
  <si>
    <t>Avenida General Lazaro Cardenas 424 SUR</t>
  </si>
  <si>
    <t>618 187 0030</t>
  </si>
  <si>
    <t>lavanderia.moderna.1950@gmail.com</t>
  </si>
  <si>
    <t>1085782</t>
  </si>
  <si>
    <t>LAVANDERIA NENA</t>
  </si>
  <si>
    <t>Calle Fresno sin número</t>
  </si>
  <si>
    <t>618 235 7743</t>
  </si>
  <si>
    <t>9929369</t>
  </si>
  <si>
    <t>LAVANDERIA ORQUIDEA</t>
  </si>
  <si>
    <t>ROSA ALVARADO</t>
  </si>
  <si>
    <t>Avenida Cuitlahuac 411</t>
  </si>
  <si>
    <t>Fraccionamiento El Edén</t>
  </si>
  <si>
    <t>10373525</t>
  </si>
  <si>
    <t>LAVANDERIA PH</t>
  </si>
  <si>
    <t>Calle Profesor Guadalupe G De Rodriguez 207 A</t>
  </si>
  <si>
    <t>Colonia Ciénega</t>
  </si>
  <si>
    <t>618 448 1257</t>
  </si>
  <si>
    <t>9560102</t>
  </si>
  <si>
    <t>LAVANDERIA PLANCHADURIA Y TINTORERIA LA VALE</t>
  </si>
  <si>
    <t>Lavandería, tintorería y planchaduría</t>
  </si>
  <si>
    <t>Avenida Cuitlahuac 452</t>
  </si>
  <si>
    <t>618 823 8581</t>
  </si>
  <si>
    <t>10511861</t>
  </si>
  <si>
    <t>LAVANDERIA ROMA</t>
  </si>
  <si>
    <t>Calle Lisboa 829 A</t>
  </si>
  <si>
    <t>Fraccionamiento Roma</t>
  </si>
  <si>
    <t>34226</t>
  </si>
  <si>
    <t>618 181 9094</t>
  </si>
  <si>
    <t>7192882</t>
  </si>
  <si>
    <t>LAVANDERIA ROMY</t>
  </si>
  <si>
    <t>Calle Paseo Del Gobernador 144</t>
  </si>
  <si>
    <t>9802850</t>
  </si>
  <si>
    <t>LAVANDERIA SAN JOSE</t>
  </si>
  <si>
    <t>Calle Zarco sin número</t>
  </si>
  <si>
    <t>618 132 6123</t>
  </si>
  <si>
    <t>9380640</t>
  </si>
  <si>
    <t>LAVANDERIA SECADO AL SOL</t>
  </si>
  <si>
    <t>Calle Salubridad 410</t>
  </si>
  <si>
    <t>Colonia Olga Margarita</t>
  </si>
  <si>
    <t>618 326 5785</t>
  </si>
  <si>
    <t>10865560</t>
  </si>
  <si>
    <t>LAVANDERIA SIN NOMBRE</t>
  </si>
  <si>
    <t>Calle Ricardo Flores Magon sin número</t>
  </si>
  <si>
    <t>618 294 1542</t>
  </si>
  <si>
    <t>11287487</t>
  </si>
  <si>
    <t>LAVANDERIA SMOOTH CLEAN</t>
  </si>
  <si>
    <t>Avenida Licenciado Francisco Primo De Verdad Y Ramos 1101</t>
  </si>
  <si>
    <t>Colonia Valle Del Sur</t>
  </si>
  <si>
    <t>34120</t>
  </si>
  <si>
    <t>618 127 7805</t>
  </si>
  <si>
    <t>1095247</t>
  </si>
  <si>
    <t>LAVANDERIA SOR CLEAN SO FRESH</t>
  </si>
  <si>
    <t>Calle Camino De Los Riegos sin número</t>
  </si>
  <si>
    <t>Fraccionamiento San Angel</t>
  </si>
  <si>
    <t>34106</t>
  </si>
  <si>
    <t>7258807</t>
  </si>
  <si>
    <t>LAVANDERIA TALAMANTES</t>
  </si>
  <si>
    <t>876 109 1554</t>
  </si>
  <si>
    <t>11288233</t>
  </si>
  <si>
    <t>LAVANDERIA TINTORERIA HIPER WHITE</t>
  </si>
  <si>
    <t>PATRICIA LUJAN</t>
  </si>
  <si>
    <t>Lavandería y tintorería</t>
  </si>
  <si>
    <t>Calle Circuito Interior 315</t>
  </si>
  <si>
    <t>Fraccionamiento Huizache Ii</t>
  </si>
  <si>
    <t>618 469 1545</t>
  </si>
  <si>
    <t>10682519</t>
  </si>
  <si>
    <t>LAVANDERIA TINTORERIA Y PLANCHADURIA</t>
  </si>
  <si>
    <t>Avenida Real Del Mezquital 94 D</t>
  </si>
  <si>
    <t>618 164 1822</t>
  </si>
  <si>
    <t>11205537</t>
  </si>
  <si>
    <t>LAVANDERIA TRAPITOS</t>
  </si>
  <si>
    <t>Calle Benito Juarez 412</t>
  </si>
  <si>
    <t>Colonia 5 De Mayo</t>
  </si>
  <si>
    <t>618 131 0590</t>
  </si>
  <si>
    <t>8415180</t>
  </si>
  <si>
    <t>Boulevard Domingo Arrieta 303</t>
  </si>
  <si>
    <t>Fraccionamiento Sahop</t>
  </si>
  <si>
    <t>618 141 5831</t>
  </si>
  <si>
    <t>11589419</t>
  </si>
  <si>
    <t>LAVANDERIA WASCHE</t>
  </si>
  <si>
    <t>RAFAEL ARCOS</t>
  </si>
  <si>
    <t>Calle Hacienda De San Jose 151</t>
  </si>
  <si>
    <t>Fraccionamiento Hacienda De Tapias</t>
  </si>
  <si>
    <t>34147</t>
  </si>
  <si>
    <t>8415210</t>
  </si>
  <si>
    <t>LAVANDERIA WM</t>
  </si>
  <si>
    <t>Calle Raiz Del Hombre sin número</t>
  </si>
  <si>
    <t>Fraccionamiento Octavio Paz</t>
  </si>
  <si>
    <t>34234</t>
  </si>
  <si>
    <t>812 465 0503</t>
  </si>
  <si>
    <t>10597811</t>
  </si>
  <si>
    <t>LAVANDERIA Y PLANCHADO MI CHACHA</t>
  </si>
  <si>
    <t>ALEJANDRA ZUÑIGA</t>
  </si>
  <si>
    <t>Calle Geronimo Hernandez sin número</t>
  </si>
  <si>
    <t>618 292 8786</t>
  </si>
  <si>
    <t>11377347</t>
  </si>
  <si>
    <t>LAVANDERIA Y PLANCHADURIA</t>
  </si>
  <si>
    <t>Calle Licenciado Alberto Terrones Benitez sin número</t>
  </si>
  <si>
    <t>618 290 6684</t>
  </si>
  <si>
    <t>10286892</t>
  </si>
  <si>
    <t>LAVANDERIA Y PLANCHADURIA ALDAMA</t>
  </si>
  <si>
    <t>Calle Aldama 610</t>
  </si>
  <si>
    <t>618 804 7884</t>
  </si>
  <si>
    <t>1082253</t>
  </si>
  <si>
    <t>LAVANDERIA Y PLANCHADURIA CANELAS</t>
  </si>
  <si>
    <t>Avenida Coronel Enrique Carrola Antuna 408</t>
  </si>
  <si>
    <t>618 113 0582</t>
  </si>
  <si>
    <t>7319540</t>
  </si>
  <si>
    <t>LAVANDERIA Y PLANCHADURIA CHACHA PLANCHA</t>
  </si>
  <si>
    <t>Prolongacion Pino Suarez 3600 3</t>
  </si>
  <si>
    <t>618 304 1414</t>
  </si>
  <si>
    <t>7193395</t>
  </si>
  <si>
    <t>LAVANDERIA Y PLANCHADURIA KARYME</t>
  </si>
  <si>
    <t>Calle General Ismael Lares 235 A</t>
  </si>
  <si>
    <t>618 133 3872</t>
  </si>
  <si>
    <t>1082958</t>
  </si>
  <si>
    <t>LAVANDERIA Y PLANCHADURIA LA SALLE</t>
  </si>
  <si>
    <t>VERONICA CUEVAS</t>
  </si>
  <si>
    <t>Avenida La Salle 122</t>
  </si>
  <si>
    <t>1095597</t>
  </si>
  <si>
    <t>LAVANDERIA Y PLANCHADURIA LAS MARGARITAS</t>
  </si>
  <si>
    <t>Calle Zaragoza 311, interior 317</t>
  </si>
  <si>
    <t>7320213</t>
  </si>
  <si>
    <t>LAVANDERIA Y PLANCHADURIA LAVAIMPEC</t>
  </si>
  <si>
    <t>Calle Felipe Angeles 211 A</t>
  </si>
  <si>
    <t>8640909</t>
  </si>
  <si>
    <t>LAVANDERIA Y PLANCHADURIA ROX</t>
  </si>
  <si>
    <t>Calle Lorenzo Garza sin número</t>
  </si>
  <si>
    <t>Fraccionamiento San Ignacio</t>
  </si>
  <si>
    <t>34030</t>
  </si>
  <si>
    <t>618 120 0646</t>
  </si>
  <si>
    <t>11012442</t>
  </si>
  <si>
    <t>LAVANDERIA Y TINTORERIA SWAN</t>
  </si>
  <si>
    <t>Calle Universidad Autonoma De Durango 120, Galeria Magnolia</t>
  </si>
  <si>
    <t>34209</t>
  </si>
  <si>
    <t>11155805</t>
  </si>
  <si>
    <t>LAVANDERÍAS Y TINTORERÍAS SIN NOMBRE</t>
  </si>
  <si>
    <t>Calle Rio Grande 100</t>
  </si>
  <si>
    <t>Fraccionamiento Milenio 450</t>
  </si>
  <si>
    <t>618 156 3164</t>
  </si>
  <si>
    <t>9747827</t>
  </si>
  <si>
    <t>LAVANOVA</t>
  </si>
  <si>
    <t>ANALEE RODRIGUEZ</t>
  </si>
  <si>
    <t>Boulevard General Guadalupe Victoria sin número</t>
  </si>
  <si>
    <t>Colonia 16 De Septiembre</t>
  </si>
  <si>
    <t>34020</t>
  </si>
  <si>
    <t>618 117 2474</t>
  </si>
  <si>
    <t>10235904</t>
  </si>
  <si>
    <t>LAVI LAVANDERIA</t>
  </si>
  <si>
    <t>Boulevard Jose Maria Patoni sin número</t>
  </si>
  <si>
    <t>Colonia Arturo Gámiz</t>
  </si>
  <si>
    <t>34218</t>
  </si>
  <si>
    <t>7424818</t>
  </si>
  <si>
    <t>Prolongacion Lazaro Cardenas 107 A</t>
  </si>
  <si>
    <t>Fraccionamiento La Forestal</t>
  </si>
  <si>
    <t>34217</t>
  </si>
  <si>
    <t>1097814</t>
  </si>
  <si>
    <t>LE PLANCHE PLANCHADURIA Y LAVANDERIA</t>
  </si>
  <si>
    <t>Calle Capitan Pedro Celestino Negrete 425</t>
  </si>
  <si>
    <t>618 290 1700</t>
  </si>
  <si>
    <t>8414384</t>
  </si>
  <si>
    <t>LIMPIESITO LAVANDERIA</t>
  </si>
  <si>
    <t>Calle Pino Suarez 602 1</t>
  </si>
  <si>
    <t>9366697</t>
  </si>
  <si>
    <t>LIMPIO Y SECO</t>
  </si>
  <si>
    <t>Boulevard Francisco Villa sin número</t>
  </si>
  <si>
    <t>Ciudad Industrial 20 De Noviembre</t>
  </si>
  <si>
    <t>618 210 3074</t>
  </si>
  <si>
    <t>11151946</t>
  </si>
  <si>
    <t>LIMPIO Y TERSO</t>
  </si>
  <si>
    <t>Avenida Cuauhtemoc 703 C</t>
  </si>
  <si>
    <t>9710103</t>
  </si>
  <si>
    <t>MR GANCHO</t>
  </si>
  <si>
    <t>BEATRIZ GARCIA</t>
  </si>
  <si>
    <t>Prolongacion Nazas 118</t>
  </si>
  <si>
    <t>Fraccionamiento Valle Del Mezquital Ii</t>
  </si>
  <si>
    <t>9381007</t>
  </si>
  <si>
    <t>PH LAVANDERIA</t>
  </si>
  <si>
    <t>ELVIA DOMINGUEZ</t>
  </si>
  <si>
    <t>Calle Milpillas 301</t>
  </si>
  <si>
    <t>8414646</t>
  </si>
  <si>
    <t>PLANCHA EXPRESS</t>
  </si>
  <si>
    <t>Boulevard San Antonio Abad 101</t>
  </si>
  <si>
    <t>Fraccionamiento San José</t>
  </si>
  <si>
    <t>9560943</t>
  </si>
  <si>
    <t>PLANCHA SIN NOMBRE</t>
  </si>
  <si>
    <t>MARIA CALDERA</t>
  </si>
  <si>
    <t>Boulevard Juan Pablo Ii sin número</t>
  </si>
  <si>
    <t>Fraccionamiento La Glorieta</t>
  </si>
  <si>
    <t>34207</t>
  </si>
  <si>
    <t>1082472</t>
  </si>
  <si>
    <t>PLANCHADO EXPRESS</t>
  </si>
  <si>
    <t>Calle Capitan Pedro Celestino Negrete 1003 B</t>
  </si>
  <si>
    <t>618 364 1368</t>
  </si>
  <si>
    <t>1079690</t>
  </si>
  <si>
    <t>PLANCHADURIA</t>
  </si>
  <si>
    <t>Calle El Encino 104</t>
  </si>
  <si>
    <t>Fraccionamiento Francisco I. Madero</t>
  </si>
  <si>
    <t>34159</t>
  </si>
  <si>
    <t>9611845</t>
  </si>
  <si>
    <t>PLANCHADURIA COMO EN CASA</t>
  </si>
  <si>
    <t>Fraccionamiento Canela</t>
  </si>
  <si>
    <t>618 154 0283</t>
  </si>
  <si>
    <t>8605098</t>
  </si>
  <si>
    <t>PLANCHADURIA EL SOL</t>
  </si>
  <si>
    <t>AMADA GARCIA</t>
  </si>
  <si>
    <t>Calle Ramirez 526</t>
  </si>
  <si>
    <t>1085384</t>
  </si>
  <si>
    <t>PLANCHADURIA EXPPRES</t>
  </si>
  <si>
    <t>Calle 19 De Julio 411 A</t>
  </si>
  <si>
    <t>Colonia Tierra Y Libertad</t>
  </si>
  <si>
    <t>34127</t>
  </si>
  <si>
    <t>618 117 8408</t>
  </si>
  <si>
    <t>8629755</t>
  </si>
  <si>
    <t>PLANCHADURIA GIRON</t>
  </si>
  <si>
    <t>JORGE GIRON</t>
  </si>
  <si>
    <t>Prolongacion Pino Suarez 313</t>
  </si>
  <si>
    <t>618 365 8150</t>
  </si>
  <si>
    <t>10057839</t>
  </si>
  <si>
    <t>PLANCHADURIA JAZ</t>
  </si>
  <si>
    <t>Calle Guadalajara 230</t>
  </si>
  <si>
    <t>Colonia Jalisco</t>
  </si>
  <si>
    <t>618 126 9671</t>
  </si>
  <si>
    <t>1113966</t>
  </si>
  <si>
    <t>PLANCHADURIA LA PLANCHA EXPRESS</t>
  </si>
  <si>
    <t>GUADALUPE ONTIVEROS</t>
  </si>
  <si>
    <t>Calle Hacienda Coyotes 401</t>
  </si>
  <si>
    <t>7193118</t>
  </si>
  <si>
    <t>PLANCHADURIA LOMAS</t>
  </si>
  <si>
    <t>Boulevard Durango 302 C</t>
  </si>
  <si>
    <t>Fraccionamiento Lomas Del Guadiana</t>
  </si>
  <si>
    <t>34110</t>
  </si>
  <si>
    <t>618 275 3542</t>
  </si>
  <si>
    <t>1083701</t>
  </si>
  <si>
    <t>PLANCHADURIA MADI</t>
  </si>
  <si>
    <t>Calle Pino Suarez 1406</t>
  </si>
  <si>
    <t>1115873</t>
  </si>
  <si>
    <t>PLANCHADURIA PLANCHAEXPRESS TINTORERIA Y LAVANDERIA</t>
  </si>
  <si>
    <t>Avenida Real Del Mezquital 225</t>
  </si>
  <si>
    <t>618 322 8138</t>
  </si>
  <si>
    <t>7425538</t>
  </si>
  <si>
    <t>PLANCHADURIA Y LAVANDERIA WASH REAL</t>
  </si>
  <si>
    <t>Boulevard Dolores Del Rio 132 A</t>
  </si>
  <si>
    <t>Fraccionamiento Las Playas</t>
  </si>
  <si>
    <t>34260</t>
  </si>
  <si>
    <t>9108982</t>
  </si>
  <si>
    <t>PRODUCTOS DE LIMPIEZA Y LAVANDERIA</t>
  </si>
  <si>
    <t>MARICRUZ CARRILLO</t>
  </si>
  <si>
    <t>Diagonal Real Victoria sin número</t>
  </si>
  <si>
    <t>Fraccionamiento Real Victoria</t>
  </si>
  <si>
    <t>9072830</t>
  </si>
  <si>
    <t>QUALITY WASH LAVANDERIA</t>
  </si>
  <si>
    <t>ANDREA PANTOJA</t>
  </si>
  <si>
    <t>Prolongacion General Lázaro Cárdenas 400 4</t>
  </si>
  <si>
    <t>Colonia Universal</t>
  </si>
  <si>
    <t>11827442</t>
  </si>
  <si>
    <t>RAPIDO Y LIMPIO</t>
  </si>
  <si>
    <t>Calle Rio Usumacinta sin número</t>
  </si>
  <si>
    <t>618 840 5278</t>
  </si>
  <si>
    <t>10145148</t>
  </si>
  <si>
    <t>ROBOTINA</t>
  </si>
  <si>
    <t>Calle Belisario Dominguez sin número</t>
  </si>
  <si>
    <t>Fraccionamiento Hernández</t>
  </si>
  <si>
    <t>34138</t>
  </si>
  <si>
    <t>1086905</t>
  </si>
  <si>
    <t>SERVICIO DE LAVADO Y PLANCHADO</t>
  </si>
  <si>
    <t>DORA GUERRA</t>
  </si>
  <si>
    <t>Calle Salvador Esquer Apodaca 201</t>
  </si>
  <si>
    <t>Fraccion Jardines De San Antonio</t>
  </si>
  <si>
    <t>7264487</t>
  </si>
  <si>
    <t>SERVICIO DE PLANCHADO</t>
  </si>
  <si>
    <t>Avenida Division Durango 703</t>
  </si>
  <si>
    <t>Colonia Benjamín Méndez</t>
  </si>
  <si>
    <t>7306622</t>
  </si>
  <si>
    <t>THE URBAN LAUNDRY</t>
  </si>
  <si>
    <t>Calle El Atardecer 208, Plaza Cultivos</t>
  </si>
  <si>
    <t>Fraccionamiento El Atardecer Residencial</t>
  </si>
  <si>
    <t>34193</t>
  </si>
  <si>
    <t>618 260 4574</t>
  </si>
  <si>
    <t>urbanlaundrydgo@gmail.com</t>
  </si>
  <si>
    <t>11013378</t>
  </si>
  <si>
    <t>TINTORERIA CALIFORNIA</t>
  </si>
  <si>
    <t>Tintorería</t>
  </si>
  <si>
    <t>Calle Regato 257</t>
  </si>
  <si>
    <t>618 817 0677</t>
  </si>
  <si>
    <t>tintocalifornia@gmail.com</t>
  </si>
  <si>
    <t>1079408</t>
  </si>
  <si>
    <t>TINTORERIA EVER CLEAN</t>
  </si>
  <si>
    <t>Calle Laureano Roncal 516 SUR</t>
  </si>
  <si>
    <t>Condominio Zona Centro</t>
  </si>
  <si>
    <t>618 811 3444</t>
  </si>
  <si>
    <t>cmme65@proyigi.net.mx</t>
  </si>
  <si>
    <t>1115164</t>
  </si>
  <si>
    <t>TINTORERIA MAX</t>
  </si>
  <si>
    <t>Boulevard Francisco Villa 1410</t>
  </si>
  <si>
    <t>Colonia Rio Florido</t>
  </si>
  <si>
    <t>1084154</t>
  </si>
  <si>
    <t>TINTORERIA RALISE</t>
  </si>
  <si>
    <t>Calle Gabino Barreda 1006</t>
  </si>
  <si>
    <t>618 811 4444</t>
  </si>
  <si>
    <t>1084367</t>
  </si>
  <si>
    <t>TINTORERIA RAPIDA MAX</t>
  </si>
  <si>
    <t>Boulevard Felipe Pescador 1101, interior 1</t>
  </si>
  <si>
    <t>Colonia Esperanza</t>
  </si>
  <si>
    <t>tinto.max1@gmail.com</t>
  </si>
  <si>
    <t>1078598</t>
  </si>
  <si>
    <t>TINTORERIA RAPIDA MAX EL EDEN</t>
  </si>
  <si>
    <t>Boulevard Instituto Politecnico Nacional 100, El Eden</t>
  </si>
  <si>
    <t>618 836 7336</t>
  </si>
  <si>
    <t>1117565</t>
  </si>
  <si>
    <t>WHITE TEC LAVANDERIA</t>
  </si>
  <si>
    <t>Calle Mision De Santa Lucia 220 A</t>
  </si>
  <si>
    <t>Fraccionamiento Tres Misiones</t>
  </si>
  <si>
    <t>8554674</t>
  </si>
  <si>
    <t>ACABADOS TEXTILES LAVANDERIA INDUSTRIAL</t>
  </si>
  <si>
    <t>ACABADOS TEXTILES LAVANDERIAA INDUSTRIAL</t>
  </si>
  <si>
    <t>31 a 50 personas</t>
  </si>
  <si>
    <t>Prolongacion Valle Del Guadiana 672, Sin Nombre</t>
  </si>
  <si>
    <t>Parque Industrial Carlos A  Herrera Araluce</t>
  </si>
  <si>
    <t>35070</t>
  </si>
  <si>
    <t>acatex@prodigy.net.com</t>
  </si>
  <si>
    <t>6326191</t>
  </si>
  <si>
    <t>ALMACEN LAVARTEX SEAO</t>
  </si>
  <si>
    <t>SERVICIOS ESTRELLA AZUL DE OCCIDENTE</t>
  </si>
  <si>
    <t>Calzada Carlos Herrera Araluce sin número</t>
  </si>
  <si>
    <t>Ampliacion Santa Rosa</t>
  </si>
  <si>
    <t>35047</t>
  </si>
  <si>
    <t>11189463</t>
  </si>
  <si>
    <t>HI CLEAR</t>
  </si>
  <si>
    <t>Boulevard Isidoro Leal Rodriguez 3388</t>
  </si>
  <si>
    <t>Colonia Los Álamos</t>
  </si>
  <si>
    <t>35024</t>
  </si>
  <si>
    <t>hicleartintoreria@outl.com</t>
  </si>
  <si>
    <t>9282224</t>
  </si>
  <si>
    <t>LA PLANCHA SERVICIO DE PLANCHADO</t>
  </si>
  <si>
    <t>ADRIANA GUERRERO</t>
  </si>
  <si>
    <t>Avenida Independencia sin número</t>
  </si>
  <si>
    <t>Colonia Ampliación Bellavista</t>
  </si>
  <si>
    <t>35050</t>
  </si>
  <si>
    <t>9701731</t>
  </si>
  <si>
    <t>LA ROPERIA</t>
  </si>
  <si>
    <t>Avenida Francisco Villa 601, Plaza Palmas Hamburgo</t>
  </si>
  <si>
    <t>Rinconada Rinconadas Hamburgo</t>
  </si>
  <si>
    <t>35018</t>
  </si>
  <si>
    <t>laroperiagp@gmail.com</t>
  </si>
  <si>
    <t>7403430</t>
  </si>
  <si>
    <t>LAVADO Y SECADO</t>
  </si>
  <si>
    <t>Avenida Ignacio Allende 971</t>
  </si>
  <si>
    <t>35000</t>
  </si>
  <si>
    <t>871 245 2073</t>
  </si>
  <si>
    <t>7404861</t>
  </si>
  <si>
    <t>LAVADO YA</t>
  </si>
  <si>
    <t>GRUPO LAVANTI</t>
  </si>
  <si>
    <t>Boulevard El Refugio sin número</t>
  </si>
  <si>
    <t>Fraccionamiento Villas El Refugio</t>
  </si>
  <si>
    <t>35029</t>
  </si>
  <si>
    <t>871 514 1443</t>
  </si>
  <si>
    <t>11153640</t>
  </si>
  <si>
    <t>LAVANDERIA ALAMOS</t>
  </si>
  <si>
    <t>Calle Turquia sin número</t>
  </si>
  <si>
    <t>Colonia Nuevo Los Alamos</t>
  </si>
  <si>
    <t>35027</t>
  </si>
  <si>
    <t>871 251 5184</t>
  </si>
  <si>
    <t>1065763</t>
  </si>
  <si>
    <t>LAVANDERIA DEL CENTRO</t>
  </si>
  <si>
    <t>Avenida Juan Ignacio Aldama 401</t>
  </si>
  <si>
    <t>11732876</t>
  </si>
  <si>
    <t>LAVANDERIA DOÑA BLANQUITA</t>
  </si>
  <si>
    <t>Avenida Francisco Villa 130</t>
  </si>
  <si>
    <t>Colonia Las Granjas 2</t>
  </si>
  <si>
    <t>871 493 0691</t>
  </si>
  <si>
    <t>9953063</t>
  </si>
  <si>
    <t>LAVANDERIA EL CAMPESTRE</t>
  </si>
  <si>
    <t>Boulevard Miguel Aleman 111</t>
  </si>
  <si>
    <t>Colonia Las Rosas</t>
  </si>
  <si>
    <t>35090</t>
  </si>
  <si>
    <t>1063663</t>
  </si>
  <si>
    <t>Calzada Jose Agustin Castro 888</t>
  </si>
  <si>
    <t>Colonia Revolución</t>
  </si>
  <si>
    <t>1061953</t>
  </si>
  <si>
    <t>LAVANDERIA INDUSTRIAL SIN NOMBRE</t>
  </si>
  <si>
    <t>Calle Coneto De Comonfort sin número</t>
  </si>
  <si>
    <t>Colonia Las Huertas</t>
  </si>
  <si>
    <t>35140</t>
  </si>
  <si>
    <t>871 136 0275</t>
  </si>
  <si>
    <t>mundocast@hotmail.com</t>
  </si>
  <si>
    <t>1103292</t>
  </si>
  <si>
    <t>LAVANDERIA LAVAMAS</t>
  </si>
  <si>
    <t>Boulevard Bicentenario De La Revolucion sin número, interior 9</t>
  </si>
  <si>
    <t>Colonia Carrillo Puerto</t>
  </si>
  <si>
    <t>35010</t>
  </si>
  <si>
    <t>871 185 2324</t>
  </si>
  <si>
    <t>www.lavanderialavamas.com</t>
  </si>
  <si>
    <t>7538989</t>
  </si>
  <si>
    <t>LAVANDERIA LYO</t>
  </si>
  <si>
    <t>Calle San Francisco sin número</t>
  </si>
  <si>
    <t>Colonia San Antonio</t>
  </si>
  <si>
    <t>35015</t>
  </si>
  <si>
    <t>871 173 5816</t>
  </si>
  <si>
    <t>1066432</t>
  </si>
  <si>
    <t>Avenida Gregorio Garcia 289</t>
  </si>
  <si>
    <t>Colonia El Dorado</t>
  </si>
  <si>
    <t>35020</t>
  </si>
  <si>
    <t>1065437</t>
  </si>
  <si>
    <t>LAVANDERIA MI ANGEL</t>
  </si>
  <si>
    <t>Avenida Francisco Villa 316</t>
  </si>
  <si>
    <t>Fraccionamiento Rinconadas Hamburgo</t>
  </si>
  <si>
    <t>35019</t>
  </si>
  <si>
    <t>871 797 3351</t>
  </si>
  <si>
    <t>1103958</t>
  </si>
  <si>
    <t>LAVANDERIA MORELOS</t>
  </si>
  <si>
    <t>Calle Ocampo 543</t>
  </si>
  <si>
    <t>1061832</t>
  </si>
  <si>
    <t>LAVANDERIA MS</t>
  </si>
  <si>
    <t>MITSONORI NIEVES LOPEZ</t>
  </si>
  <si>
    <t>Avenida Alfonso Ramirez Leyva 304</t>
  </si>
  <si>
    <t>Fraccionamiento Santa Rosa</t>
  </si>
  <si>
    <t>35078</t>
  </si>
  <si>
    <t>871 644 1688</t>
  </si>
  <si>
    <t>10400848</t>
  </si>
  <si>
    <t>LAVANDERIA NOYOLIC</t>
  </si>
  <si>
    <t>Calle Niños Heroes 58</t>
  </si>
  <si>
    <t>Colonia Pánfilo Natera</t>
  </si>
  <si>
    <t>35049</t>
  </si>
  <si>
    <t>8658926</t>
  </si>
  <si>
    <t>LAVANDERIA PLANCHARTE</t>
  </si>
  <si>
    <t>Avenida Ignacio Zaragoza 875</t>
  </si>
  <si>
    <t>Fraccionamiento Del Bosque</t>
  </si>
  <si>
    <t>35048</t>
  </si>
  <si>
    <t>1099014</t>
  </si>
  <si>
    <t>LAVANDERIA RELEC</t>
  </si>
  <si>
    <t>Avenida Miguel Hidalgo 129 A</t>
  </si>
  <si>
    <t>1061732</t>
  </si>
  <si>
    <t>LAVANDERIA RELUCE</t>
  </si>
  <si>
    <t>Avenida Francisco Villa 258</t>
  </si>
  <si>
    <t>Rinconada Las Granjas 2</t>
  </si>
  <si>
    <t>871 123 7127</t>
  </si>
  <si>
    <t>7403711</t>
  </si>
  <si>
    <t>Calle 20 449</t>
  </si>
  <si>
    <t>Fraccionamiento Filadelfia</t>
  </si>
  <si>
    <t>871 575 1588</t>
  </si>
  <si>
    <t>10490044</t>
  </si>
  <si>
    <t>Calle Rinconada De Las Azaleas 374</t>
  </si>
  <si>
    <t>10272847</t>
  </si>
  <si>
    <t>LAVANDERIA SOAEP</t>
  </si>
  <si>
    <t>Calle Pereyra 907 BIS</t>
  </si>
  <si>
    <t>871 131 0119</t>
  </si>
  <si>
    <t>9152022</t>
  </si>
  <si>
    <t>LAVANDERIA TELOPLANCHO</t>
  </si>
  <si>
    <t>Boulevard Carlos A Herrera Araluce sin número</t>
  </si>
  <si>
    <t>Colonia La Feria</t>
  </si>
  <si>
    <t>7474149</t>
  </si>
  <si>
    <t>LAVANDERIA TEX MAN</t>
  </si>
  <si>
    <t>Boulevard Francisco Gonzalez De La Vega 427</t>
  </si>
  <si>
    <t>Parque Industrial Carlos Herrera Araluce</t>
  </si>
  <si>
    <t>35079</t>
  </si>
  <si>
    <t>871 725 7266</t>
  </si>
  <si>
    <t>11001939</t>
  </si>
  <si>
    <t>LAVANDERIA Y ACABADOS DE LA SUCHIL</t>
  </si>
  <si>
    <t>11 a 30 personas</t>
  </si>
  <si>
    <t>Calle Suchil 268</t>
  </si>
  <si>
    <t>lavanderiaauxcontable@hotmail.com</t>
  </si>
  <si>
    <t>10019916</t>
  </si>
  <si>
    <t>LAVANDERIA Y PLANCHADO ALEJANDRA</t>
  </si>
  <si>
    <t>Calle Alvaro Obregon 208</t>
  </si>
  <si>
    <t>Colonia Tierra Blanca</t>
  </si>
  <si>
    <t>35045</t>
  </si>
  <si>
    <t>871 325 3020</t>
  </si>
  <si>
    <t>7403551</t>
  </si>
  <si>
    <t>LAVANDERIAS EXPRESS</t>
  </si>
  <si>
    <t>Avenida Ingenieros 1030</t>
  </si>
  <si>
    <t>871 347 1000</t>
  </si>
  <si>
    <t>lavanderiasexpressgp@gmail.com</t>
  </si>
  <si>
    <t>1062854</t>
  </si>
  <si>
    <t>MERAKI PLANCHADURIA Y LAVANDERIA</t>
  </si>
  <si>
    <t>Avenida Ingenieros 720 A</t>
  </si>
  <si>
    <t>11792841</t>
  </si>
  <si>
    <t>PLANCHADO DE ROPA EL BOTANAZO</t>
  </si>
  <si>
    <t>Calle Heroe De Nacozari sin número</t>
  </si>
  <si>
    <t>Colonia Bellavista</t>
  </si>
  <si>
    <t>10596684</t>
  </si>
  <si>
    <t>PLANCHADURIA TELOPLANCHO</t>
  </si>
  <si>
    <t>Avenida Arquitectos sin número</t>
  </si>
  <si>
    <t>871 761 5656</t>
  </si>
  <si>
    <t>1062825</t>
  </si>
  <si>
    <t>QUICK CLEAN TINTORERIA Y LAVANDERIA</t>
  </si>
  <si>
    <t>Boulevard Miguel Aleman 625, Las Rosas</t>
  </si>
  <si>
    <t>Colonia El Campestre</t>
  </si>
  <si>
    <t>35080</t>
  </si>
  <si>
    <t>871 437 5923</t>
  </si>
  <si>
    <t>10753114</t>
  </si>
  <si>
    <t>SERVICIO LAVANDERIA</t>
  </si>
  <si>
    <t>Avenida Aguamarina 413</t>
  </si>
  <si>
    <t>Colonia La Esperanza</t>
  </si>
  <si>
    <t>871 105 8900</t>
  </si>
  <si>
    <t>7474063</t>
  </si>
  <si>
    <t>TINTORERIA CANADA</t>
  </si>
  <si>
    <t>Boulevard Miguel Aleman 964</t>
  </si>
  <si>
    <t>1063578</t>
  </si>
  <si>
    <t>Calle Mariano Urrea sin número</t>
  </si>
  <si>
    <t>10792065</t>
  </si>
  <si>
    <t>TINTORERIA CLYN MEMBERS TINTORERIA PLUS</t>
  </si>
  <si>
    <t>Boulevard Miguel Aleman 251, interior 6</t>
  </si>
  <si>
    <t>871 499 1159</t>
  </si>
  <si>
    <t>8658905</t>
  </si>
  <si>
    <t>TINTORERIA EXPRESS</t>
  </si>
  <si>
    <t>Avenida Independencia 213</t>
  </si>
  <si>
    <t>1062146</t>
  </si>
  <si>
    <t>DAGO MEXICO</t>
  </si>
  <si>
    <t>Avenida Guadalupe Victoria 2005</t>
  </si>
  <si>
    <t>dagomexico@gmail.com</t>
  </si>
  <si>
    <t>6326322</t>
  </si>
  <si>
    <t>LAVANDERIA CUQUITA</t>
  </si>
  <si>
    <t>Prolongacion Galeana 1296</t>
  </si>
  <si>
    <t>Fraccionamiento San Fernando</t>
  </si>
  <si>
    <t>35156</t>
  </si>
  <si>
    <t>667 746 0199</t>
  </si>
  <si>
    <t>11566957</t>
  </si>
  <si>
    <t>LAVANDERIA FAMIWASH</t>
  </si>
  <si>
    <t>Calle Ejido Lerdo 299</t>
  </si>
  <si>
    <t>Colonia Hijos De Ejidatarios</t>
  </si>
  <si>
    <t>35168</t>
  </si>
  <si>
    <t>871 404 2622</t>
  </si>
  <si>
    <t>1106074</t>
  </si>
  <si>
    <t>Calle Azucenas sin número</t>
  </si>
  <si>
    <t>Colonia Villa Jardin</t>
  </si>
  <si>
    <t>871 262 6596</t>
  </si>
  <si>
    <t>9506964</t>
  </si>
  <si>
    <t>LAVANDERIA LAGUNA LIMPIUM</t>
  </si>
  <si>
    <t>Prolongacion J Agustin Castro sin número</t>
  </si>
  <si>
    <t>7539520</t>
  </si>
  <si>
    <t>LAVANDERIA LAVALE</t>
  </si>
  <si>
    <t>Calle Chihuahua sin número</t>
  </si>
  <si>
    <t>Colonia Centro</t>
  </si>
  <si>
    <t>35150</t>
  </si>
  <si>
    <t>871 200 6692</t>
  </si>
  <si>
    <t>8554464</t>
  </si>
  <si>
    <t>Ciudad Juárez</t>
  </si>
  <si>
    <t>LAVANDERIA SANJUA-N</t>
  </si>
  <si>
    <t>Calle Jose Maria Morelos Y Pavon sin número</t>
  </si>
  <si>
    <t>35180</t>
  </si>
  <si>
    <t>871 709 9747</t>
  </si>
  <si>
    <t>11580614</t>
  </si>
  <si>
    <t>Calzada Guadalupe Victoria sin número, interior 1143</t>
  </si>
  <si>
    <t>871 261 2945</t>
  </si>
  <si>
    <t>11534490</t>
  </si>
  <si>
    <t>LAVANDERIA Y TINTORERIA ECONOCLEAN</t>
  </si>
  <si>
    <t>Calle Aldama 44 BIS</t>
  </si>
  <si>
    <t>871 305 1172</t>
  </si>
  <si>
    <t>7539970</t>
  </si>
  <si>
    <t>Boulevard Miguel Aleman 134</t>
  </si>
  <si>
    <t>Colonia Magisterial</t>
  </si>
  <si>
    <t>871 188 8869</t>
  </si>
  <si>
    <t>1067869</t>
  </si>
  <si>
    <t>ROPA SIETE LEGUAS JEANS</t>
  </si>
  <si>
    <t>101 a 250 personas</t>
  </si>
  <si>
    <t>Avenida Paseo Del Tecnológico 1055</t>
  </si>
  <si>
    <t>Colonia Placido Domingo</t>
  </si>
  <si>
    <t>35159</t>
  </si>
  <si>
    <t>ajuarezc@sieteleguas.com.mx</t>
  </si>
  <si>
    <t>9298197</t>
  </si>
  <si>
    <t>SE LAVAN COBERTORES</t>
  </si>
  <si>
    <t>Calle Constitucion 709</t>
  </si>
  <si>
    <t>Colonia Colonia Francisco Villa Sur</t>
  </si>
  <si>
    <t>35154</t>
  </si>
  <si>
    <t>10398356</t>
  </si>
  <si>
    <t>5ASEC</t>
  </si>
  <si>
    <t>Calle Rio Panuco 405 3</t>
  </si>
  <si>
    <t>Colonia Navarro</t>
  </si>
  <si>
    <t>27010</t>
  </si>
  <si>
    <t>tintoreriatorreon@gmail.com</t>
  </si>
  <si>
    <t>10369572</t>
  </si>
  <si>
    <t>AME</t>
  </si>
  <si>
    <t>Calle Joaquin Moreno 20 1013</t>
  </si>
  <si>
    <t>27000</t>
  </si>
  <si>
    <t>lavanderiasame@gmail.com</t>
  </si>
  <si>
    <t>10745062</t>
  </si>
  <si>
    <t>CLEAN &amp; FAST</t>
  </si>
  <si>
    <t>Calle Eleuterio Lopez Sanchez 1350, interior 28</t>
  </si>
  <si>
    <t>Fraccionamiento Del Viento</t>
  </si>
  <si>
    <t>27016</t>
  </si>
  <si>
    <t>871 144 8032</t>
  </si>
  <si>
    <t>11677940</t>
  </si>
  <si>
    <t>CLEAN AND FAST</t>
  </si>
  <si>
    <t>Boulevard Independencia sin número, interior 8</t>
  </si>
  <si>
    <t>Colonia La Estrella</t>
  </si>
  <si>
    <t>9082531</t>
  </si>
  <si>
    <t>CLEAN EXPRESS</t>
  </si>
  <si>
    <t>Avenida Juarez 2020, Plaza 2020</t>
  </si>
  <si>
    <t>10914732</t>
  </si>
  <si>
    <t>CLEAN FACTORY</t>
  </si>
  <si>
    <t>Calle Mariano Lopez Ortiz 130</t>
  </si>
  <si>
    <t>10514193</t>
  </si>
  <si>
    <t>CLEAN FAST 360</t>
  </si>
  <si>
    <t>Avenida Paseo Del Tecnologico 860, interior 8</t>
  </si>
  <si>
    <t>Colonia Torreon Residencial</t>
  </si>
  <si>
    <t>27268</t>
  </si>
  <si>
    <t>871 266 6632</t>
  </si>
  <si>
    <t>10908213</t>
  </si>
  <si>
    <t>CLEAN SHOES</t>
  </si>
  <si>
    <t>Prolongacion Monaco sin número</t>
  </si>
  <si>
    <t>Colonia Alamedas</t>
  </si>
  <si>
    <t>27110</t>
  </si>
  <si>
    <t>871 450 9000</t>
  </si>
  <si>
    <t>10537188</t>
  </si>
  <si>
    <t>CLEAN WALKERS</t>
  </si>
  <si>
    <t>Boulevard De La Senda 350, Plaza Iberia</t>
  </si>
  <si>
    <t>Fraccionamiento Andaluz</t>
  </si>
  <si>
    <t>27018</t>
  </si>
  <si>
    <t>871 458 1096</t>
  </si>
  <si>
    <t>www.cleanwalkerstorreon.com</t>
  </si>
  <si>
    <t>10071666</t>
  </si>
  <si>
    <t>CLEANYFAST LAVNDERIA DE ALZADO</t>
  </si>
  <si>
    <t>Calle Paseo De La Rosita 507, interior B</t>
  </si>
  <si>
    <t>Colonia Campestre La Rosita</t>
  </si>
  <si>
    <t>27250</t>
  </si>
  <si>
    <t>871 378 0929</t>
  </si>
  <si>
    <t>11242286</t>
  </si>
  <si>
    <t>CLINER</t>
  </si>
  <si>
    <t>LAVADO PROFESIONAL</t>
  </si>
  <si>
    <t>Avenida Juarez 626</t>
  </si>
  <si>
    <t>lavajeno@att.net.mx</t>
  </si>
  <si>
    <t>300524</t>
  </si>
  <si>
    <t>CLYN MEMBERS</t>
  </si>
  <si>
    <t>Calle Paseo De La Champaña 701 3, interior 4</t>
  </si>
  <si>
    <t>Fraccionamiento Codorniz</t>
  </si>
  <si>
    <t>27023</t>
  </si>
  <si>
    <t>871 381 8589</t>
  </si>
  <si>
    <t>jorgefernandezlorda@gmail.com</t>
  </si>
  <si>
    <t>10258176</t>
  </si>
  <si>
    <t>COMPOSTURA DE ROPA NANA PLANCHA</t>
  </si>
  <si>
    <t>Avenida 6 De Octubre 1070</t>
  </si>
  <si>
    <t>871 262 9587</t>
  </si>
  <si>
    <t>7591623</t>
  </si>
  <si>
    <t>CONFECCIONES SEÑORIAL</t>
  </si>
  <si>
    <t>Avenida Zacatecas 1906</t>
  </si>
  <si>
    <t>871 718 0655</t>
  </si>
  <si>
    <t>306741</t>
  </si>
  <si>
    <t>EASY CLEAN LAVANDERIA</t>
  </si>
  <si>
    <t>Calle Turin 4690</t>
  </si>
  <si>
    <t>27269</t>
  </si>
  <si>
    <t>282183</t>
  </si>
  <si>
    <t>ECO CLEAN DESAZOLVE</t>
  </si>
  <si>
    <t>Avenida Rovirosa Wade 382 A</t>
  </si>
  <si>
    <t>Colonia Aviacion</t>
  </si>
  <si>
    <t>27050</t>
  </si>
  <si>
    <t>10343554</t>
  </si>
  <si>
    <t>EL CUARTO DE LAVADO</t>
  </si>
  <si>
    <t>Boulevard Paseo Palmares sin número</t>
  </si>
  <si>
    <t>Residencial Villa De Las Palmas</t>
  </si>
  <si>
    <t>27013</t>
  </si>
  <si>
    <t>871 510 7482</t>
  </si>
  <si>
    <t>9584679</t>
  </si>
  <si>
    <t>FAST CLEAN LAVANDERIA Y PLANCHADO</t>
  </si>
  <si>
    <t>Calzada Calzada De Los Nogales 125</t>
  </si>
  <si>
    <t>Colonia Villa Jacarandas</t>
  </si>
  <si>
    <t>871 135 0401</t>
  </si>
  <si>
    <t>8165118</t>
  </si>
  <si>
    <t>FULLWASH</t>
  </si>
  <si>
    <t>Calzada Paseo Del Tecnologico 1458 2</t>
  </si>
  <si>
    <t>Colonia Villas De La Hacienda</t>
  </si>
  <si>
    <t>27272</t>
  </si>
  <si>
    <t>871 188 9229</t>
  </si>
  <si>
    <t>7773274</t>
  </si>
  <si>
    <t>GREEN CLEAN</t>
  </si>
  <si>
    <t>Boulevard Boulevard De La Nogalera 505, Plaza 505</t>
  </si>
  <si>
    <t>Residencial Santa Barbara</t>
  </si>
  <si>
    <t>27105</t>
  </si>
  <si>
    <t>facturagc@outlook.com</t>
  </si>
  <si>
    <t>8949197</t>
  </si>
  <si>
    <t>Calle Eleuterio Lopez Sanchez 1350</t>
  </si>
  <si>
    <t>871 207 9492</t>
  </si>
  <si>
    <t>10883100</t>
  </si>
  <si>
    <t>GREEN CLEAN TINTORERIAS</t>
  </si>
  <si>
    <t>Calle Paseo De La Rosita 302, interior 1</t>
  </si>
  <si>
    <t>871 721 2007</t>
  </si>
  <si>
    <t>nuria.valdez.@hotmail.com</t>
  </si>
  <si>
    <t>6428569</t>
  </si>
  <si>
    <t>GREEN LAGOON TINTORERIA ECOLOGICA</t>
  </si>
  <si>
    <t>Calle Independencia 3699, Esquina 3</t>
  </si>
  <si>
    <t>Fraccionamiento El Fresno</t>
  </si>
  <si>
    <t>6428393</t>
  </si>
  <si>
    <t>Calle Rio Lerma 415</t>
  </si>
  <si>
    <t>871 521 5045</t>
  </si>
  <si>
    <t>11208411</t>
  </si>
  <si>
    <t>IRON EXPRESS</t>
  </si>
  <si>
    <t>Calle Artes Graficas 1184</t>
  </si>
  <si>
    <t>871 793 9434</t>
  </si>
  <si>
    <t>escamillaamalia@yahoo.com</t>
  </si>
  <si>
    <t>7590609</t>
  </si>
  <si>
    <t>KEEP IT CLEAN</t>
  </si>
  <si>
    <t>Avenida Paseo De La Soledad 260 B</t>
  </si>
  <si>
    <t>Ampliacion La Rosita</t>
  </si>
  <si>
    <t>871 230 5015</t>
  </si>
  <si>
    <t>robertomp304@hotmail.com</t>
  </si>
  <si>
    <t>10697191</t>
  </si>
  <si>
    <t>LA LAVANDERIA</t>
  </si>
  <si>
    <t>RODOLFO GARCIA</t>
  </si>
  <si>
    <t>Avenida Prolongacion Nicolas Bravo sin número</t>
  </si>
  <si>
    <t>Colonia Nueva California</t>
  </si>
  <si>
    <t>27089</t>
  </si>
  <si>
    <t>11050126</t>
  </si>
  <si>
    <t>LA NEW TINTORERIA</t>
  </si>
  <si>
    <t>Avenida Prolongacion Juarez 7590, Plaza Arcoiris</t>
  </si>
  <si>
    <t>Fraccionamiento El Castaño</t>
  </si>
  <si>
    <t>27086</t>
  </si>
  <si>
    <t>9467359</t>
  </si>
  <si>
    <t>LA PLANCHITA</t>
  </si>
  <si>
    <t>871 514 9761</t>
  </si>
  <si>
    <t>9835235</t>
  </si>
  <si>
    <t>LA PLANCHITA FELIZ</t>
  </si>
  <si>
    <t>Calle Rio Grijalva 150</t>
  </si>
  <si>
    <t>871 138 8308</t>
  </si>
  <si>
    <t>280306</t>
  </si>
  <si>
    <t>LA SUPREMA LAVANDERIA</t>
  </si>
  <si>
    <t>Avenida Bromo 8539</t>
  </si>
  <si>
    <t>Fraccionamiento Loma Real Ii</t>
  </si>
  <si>
    <t>27073</t>
  </si>
  <si>
    <t>871 241 3939</t>
  </si>
  <si>
    <t>8164980</t>
  </si>
  <si>
    <t>LAVA EXPREES TINTORERIA</t>
  </si>
  <si>
    <t>Carretera Torreon San Pedro sin número</t>
  </si>
  <si>
    <t>Hacienda El Rosario</t>
  </si>
  <si>
    <t>871 204 4336</t>
  </si>
  <si>
    <t>7696707</t>
  </si>
  <si>
    <t>LAVA EXPRES</t>
  </si>
  <si>
    <t>LAVAEXRES</t>
  </si>
  <si>
    <t>Calle Gonzalez Ortega 268 A</t>
  </si>
  <si>
    <t>7009948</t>
  </si>
  <si>
    <t>LAVA EXPRESS LAVANDERIA</t>
  </si>
  <si>
    <t>Prolongacion Monaco 234</t>
  </si>
  <si>
    <t>871 571 5466</t>
  </si>
  <si>
    <t>7590639</t>
  </si>
  <si>
    <t>LAVA EXPRESS TINTORERIA</t>
  </si>
  <si>
    <t>ASOCIACION EL SOL 19</t>
  </si>
  <si>
    <t>Boulevard Independencia 2480, interior 7</t>
  </si>
  <si>
    <t>871 193 9400</t>
  </si>
  <si>
    <t>305702</t>
  </si>
  <si>
    <t>LAVA FACIL</t>
  </si>
  <si>
    <t>Avenida Jose Cueto 900</t>
  </si>
  <si>
    <t>Colonia Ampliacion Los Angeles</t>
  </si>
  <si>
    <t>27140</t>
  </si>
  <si>
    <t>303917</t>
  </si>
  <si>
    <t>LAVADO Y PLANCHADO</t>
  </si>
  <si>
    <t>Calle Carmen Salinas 28 545</t>
  </si>
  <si>
    <t>7040950</t>
  </si>
  <si>
    <t>Avenida Torre De Belem 5007 B</t>
  </si>
  <si>
    <t>Colonia Las Torres</t>
  </si>
  <si>
    <t>27085</t>
  </si>
  <si>
    <t>6966378</t>
  </si>
  <si>
    <t>Calle Melchor Muzquiz 119</t>
  </si>
  <si>
    <t>871 143 7611</t>
  </si>
  <si>
    <t>295565</t>
  </si>
  <si>
    <t>Avenida Allende 5703 A</t>
  </si>
  <si>
    <t>274889</t>
  </si>
  <si>
    <t>Calle Universidad sin número</t>
  </si>
  <si>
    <t>Fraccionamiento Joyas De Torreon</t>
  </si>
  <si>
    <t>27087</t>
  </si>
  <si>
    <t>871 360 2966</t>
  </si>
  <si>
    <t>11488404</t>
  </si>
  <si>
    <t>LAVANDERIA 21</t>
  </si>
  <si>
    <t>Avenida Matamoros 100</t>
  </si>
  <si>
    <t>871 679 5598</t>
  </si>
  <si>
    <t>306390</t>
  </si>
  <si>
    <t>LAVANDERIA ANITA</t>
  </si>
  <si>
    <t>Calle Prolongacion Francisco Sarabia 5705</t>
  </si>
  <si>
    <t>Colonia G Diaz Ordaz</t>
  </si>
  <si>
    <t>27080</t>
  </si>
  <si>
    <t>871 116 3760</t>
  </si>
  <si>
    <t>10835355</t>
  </si>
  <si>
    <t>LAVANDERIA BIOCLEAN</t>
  </si>
  <si>
    <t>Calle Eleuterio Lopez Sanchez 890, Corredor Palma Real I</t>
  </si>
  <si>
    <t>Colonia Country Club Residencial</t>
  </si>
  <si>
    <t>27014</t>
  </si>
  <si>
    <t>871 267 4812</t>
  </si>
  <si>
    <t>8168388</t>
  </si>
  <si>
    <t>LAVANDERIA BLANQUITA</t>
  </si>
  <si>
    <t>Calzada Calzada De Los Nogales 902 11</t>
  </si>
  <si>
    <t>11802546</t>
  </si>
  <si>
    <t>LAVANDERIA BURBU CLEAN</t>
  </si>
  <si>
    <t>Calzada Manuel Gomez Morin 377</t>
  </si>
  <si>
    <t>Colonia Residencial La Hacienda</t>
  </si>
  <si>
    <t>27276</t>
  </si>
  <si>
    <t>871 335 1330</t>
  </si>
  <si>
    <t>283257</t>
  </si>
  <si>
    <t>LAVANDERIA CANTERA</t>
  </si>
  <si>
    <t>Boulevard Boulevard De Los Arboles 24, interior 5</t>
  </si>
  <si>
    <t>Fraccionamiento Ampliacion Senderos</t>
  </si>
  <si>
    <t>871 887 3911</t>
  </si>
  <si>
    <t>gabygabina3112@gmail.com</t>
  </si>
  <si>
    <t>6998085</t>
  </si>
  <si>
    <t>LAVANDERIA CHAKA CHAKA</t>
  </si>
  <si>
    <t>Calle Pavorreal 4881</t>
  </si>
  <si>
    <t>Colonia Casa Blanca</t>
  </si>
  <si>
    <t>27277</t>
  </si>
  <si>
    <t>871 234 5558</t>
  </si>
  <si>
    <t>faregom71@gmail.com</t>
  </si>
  <si>
    <t>7710208</t>
  </si>
  <si>
    <t>LAVANDERIA DE ROPA PRINCESA</t>
  </si>
  <si>
    <t>Avenida Xochimilco 28</t>
  </si>
  <si>
    <t>Colonia Villa California</t>
  </si>
  <si>
    <t>871 473 6459</t>
  </si>
  <si>
    <t>7040765</t>
  </si>
  <si>
    <t>LAVANDERIA DEVOLAVA</t>
  </si>
  <si>
    <t>Avenida Prolongacion Juarez 3</t>
  </si>
  <si>
    <t>Fraccionamiento La Joya</t>
  </si>
  <si>
    <t>7773159</t>
  </si>
  <si>
    <t>Boulevard Diagonal De Las Fuentes 16 A</t>
  </si>
  <si>
    <t>Colonia La Fuente</t>
  </si>
  <si>
    <t>27090</t>
  </si>
  <si>
    <t>11429387</t>
  </si>
  <si>
    <t>LAVANDERIA EL PEDREGAL</t>
  </si>
  <si>
    <t>Calle Paseo Canal De San Antonio 1729</t>
  </si>
  <si>
    <t>Colonia El Pedregal</t>
  </si>
  <si>
    <t>27054</t>
  </si>
  <si>
    <t>10415498</t>
  </si>
  <si>
    <t>LAVANDERIA ESTRELLA</t>
  </si>
  <si>
    <t>Boulevard De La Senda 400, Senderos 400</t>
  </si>
  <si>
    <t>Fraccionamiento Residencial Senderos</t>
  </si>
  <si>
    <t>871 310 4830</t>
  </si>
  <si>
    <t>6997270</t>
  </si>
  <si>
    <t>LAVANDERIA EXPRES PRO CLEAN</t>
  </si>
  <si>
    <t>Calzada Manuel Gomez Morin 403 2</t>
  </si>
  <si>
    <t>871 463 5264</t>
  </si>
  <si>
    <t>sebastanandresfigueroadavila@gmail.com</t>
  </si>
  <si>
    <t>11255600</t>
  </si>
  <si>
    <t>LAVANDERIA FAST CLEAN</t>
  </si>
  <si>
    <t>SAIRA OLMOS</t>
  </si>
  <si>
    <t>Calle Mazatlan 5391 BIS</t>
  </si>
  <si>
    <t>871 244 5859</t>
  </si>
  <si>
    <t>302887</t>
  </si>
  <si>
    <t>LAVANDERIA KLEAN FAMILY</t>
  </si>
  <si>
    <t>Calle Eugenio Aguirre Benavides 794 BIS</t>
  </si>
  <si>
    <t>871 107 8393</t>
  </si>
  <si>
    <t>7591751</t>
  </si>
  <si>
    <t>LAVANDERIA LA BLANQUITA</t>
  </si>
  <si>
    <t>Boulevard Pedro Rodriguez Triana 650</t>
  </si>
  <si>
    <t>Fraccionamiento Residencial La Hacienda</t>
  </si>
  <si>
    <t>871 580 0163</t>
  </si>
  <si>
    <t>11204923</t>
  </si>
  <si>
    <t>LAVANDERIA LA BORBUJA</t>
  </si>
  <si>
    <t>Boulevard Boulevard De Los Arboles 20, interior 2</t>
  </si>
  <si>
    <t>871 522 9203</t>
  </si>
  <si>
    <t>6998086</t>
  </si>
  <si>
    <t>LAVANDERIA LA CHACHITA</t>
  </si>
  <si>
    <t>SAHARA MARTINEZ</t>
  </si>
  <si>
    <t>Boulevard Boulevard De La Libertad sin número</t>
  </si>
  <si>
    <t>Ampliacion Ampliacion Valle Del Nazas</t>
  </si>
  <si>
    <t>27083</t>
  </si>
  <si>
    <t>11300486</t>
  </si>
  <si>
    <t>LAVANDERIA LA GOTITA</t>
  </si>
  <si>
    <t>Avenida Mariano Abasolo 2109</t>
  </si>
  <si>
    <t>871 267 1795</t>
  </si>
  <si>
    <t>306365</t>
  </si>
  <si>
    <t>Avenida Paseo Central sin número</t>
  </si>
  <si>
    <t>Colonia Fuentes Del Sur</t>
  </si>
  <si>
    <t>27290</t>
  </si>
  <si>
    <t>6428658</t>
  </si>
  <si>
    <t>LAVANDERIA LA LAVANDERIA</t>
  </si>
  <si>
    <t>Calle 5, Sin Nombre</t>
  </si>
  <si>
    <t>871 510 0513</t>
  </si>
  <si>
    <t>10855594</t>
  </si>
  <si>
    <t>LAVANDERIA LA PUNTADA DE LUCY</t>
  </si>
  <si>
    <t>Calle Asia 87</t>
  </si>
  <si>
    <t>Colonia Rincon De La Hacienda</t>
  </si>
  <si>
    <t>871 730 2543</t>
  </si>
  <si>
    <t>8729491</t>
  </si>
  <si>
    <t>LAVANDERIA LA ROSA</t>
  </si>
  <si>
    <t>LUIS ROMERO</t>
  </si>
  <si>
    <t>Boulevard Diagonal De Las Fuentes 316</t>
  </si>
  <si>
    <t>310282</t>
  </si>
  <si>
    <t>LAVANDERIA LAGUNA</t>
  </si>
  <si>
    <t>Boulevard Diagonal De Las Fuentes 1003 6</t>
  </si>
  <si>
    <t>871 401 9119</t>
  </si>
  <si>
    <t>282717</t>
  </si>
  <si>
    <t>LAVANDERIA LAS JUANIS</t>
  </si>
  <si>
    <t>Calle Niños Heroes 575</t>
  </si>
  <si>
    <t>7010089</t>
  </si>
  <si>
    <t>LAVANDERIA LAVARE</t>
  </si>
  <si>
    <t>Avenida Paseo Del Tecnologico 210 3</t>
  </si>
  <si>
    <t>jorgevarela10@hotmail.com</t>
  </si>
  <si>
    <t>6809830</t>
  </si>
  <si>
    <t>LAVANDERIA LIBANESA</t>
  </si>
  <si>
    <t>Calzada Salvador Creel 174</t>
  </si>
  <si>
    <t>Ampliacion Margaritas</t>
  </si>
  <si>
    <t>27130</t>
  </si>
  <si>
    <t>7590548</t>
  </si>
  <si>
    <t>LAVANDERIA MADRID</t>
  </si>
  <si>
    <t>Calle La Madrid sin número</t>
  </si>
  <si>
    <t>Colonia La Mina</t>
  </si>
  <si>
    <t>27055</t>
  </si>
  <si>
    <t>871 319 1968</t>
  </si>
  <si>
    <t>279437</t>
  </si>
  <si>
    <t>LAVANDERIA MARGE WASH</t>
  </si>
  <si>
    <t>Calle Eugenio Aguirre Benavides sin número</t>
  </si>
  <si>
    <t>871 236 5285</t>
  </si>
  <si>
    <t>300327</t>
  </si>
  <si>
    <t>LAVANDERIA MARINA</t>
  </si>
  <si>
    <t>Calle Blanco 166 B, interior A</t>
  </si>
  <si>
    <t>286428</t>
  </si>
  <si>
    <t>LAVANDERIA MAVER</t>
  </si>
  <si>
    <t>Calle Prolongacion Jacarandas Oriente 287 B</t>
  </si>
  <si>
    <t>Ampliacion Las Margaritas</t>
  </si>
  <si>
    <t>871 538 0422</t>
  </si>
  <si>
    <t>7590477</t>
  </si>
  <si>
    <t>LAVANDERIA MAX</t>
  </si>
  <si>
    <t>Privada Pedro Rodriguez Triana 6660 10</t>
  </si>
  <si>
    <t>Fraccionamiento Las Lomas</t>
  </si>
  <si>
    <t>27058</t>
  </si>
  <si>
    <t>871 136 9951</t>
  </si>
  <si>
    <t>11276447</t>
  </si>
  <si>
    <t>LAVANDERIA MAX CLEAN</t>
  </si>
  <si>
    <t>Carretera Torreon San Pedro 2950, Plaza 5 Punto 7</t>
  </si>
  <si>
    <t>Residencial Senderos</t>
  </si>
  <si>
    <t>871 263 5417</t>
  </si>
  <si>
    <t>278427</t>
  </si>
  <si>
    <t>LAVANDERIA MEXICO</t>
  </si>
  <si>
    <t>Avenida Mexico sin número</t>
  </si>
  <si>
    <t>871 735 6842</t>
  </si>
  <si>
    <t>7040557</t>
  </si>
  <si>
    <t>LAVANDERIA MIS PEQUES</t>
  </si>
  <si>
    <t>Calle Betty Williams 300</t>
  </si>
  <si>
    <t>Fraccionamiento Veredas La Paz</t>
  </si>
  <si>
    <t>871 795 6429</t>
  </si>
  <si>
    <t>7590460</t>
  </si>
  <si>
    <t>LAVANDERIA MONITO</t>
  </si>
  <si>
    <t>Avenida Paseo De La Soledad 390 C</t>
  </si>
  <si>
    <t>871 733 4086</t>
  </si>
  <si>
    <t>311883</t>
  </si>
  <si>
    <t>LAVANDERIA PROCLEAN</t>
  </si>
  <si>
    <t>Calle Juan Terrazas 632</t>
  </si>
  <si>
    <t>Ampliacion Los Angeles</t>
  </si>
  <si>
    <t>27148</t>
  </si>
  <si>
    <t>9515538</t>
  </si>
  <si>
    <t>LAVANDERIA RAPILAVA</t>
  </si>
  <si>
    <t>Calle Rio Jordan 202 BIS</t>
  </si>
  <si>
    <t>871 122 2876</t>
  </si>
  <si>
    <t>305643</t>
  </si>
  <si>
    <t>LAVANDERIA RE</t>
  </si>
  <si>
    <t>Calle Juan Agustin De Espinoza 475, interior 2</t>
  </si>
  <si>
    <t>Colonia Etnias</t>
  </si>
  <si>
    <t>25035</t>
  </si>
  <si>
    <t>7710834</t>
  </si>
  <si>
    <t>LAVANDERIA SIGLO XX1</t>
  </si>
  <si>
    <t>Boulevard Constitucion 1279</t>
  </si>
  <si>
    <t>871 353 9190</t>
  </si>
  <si>
    <t>304165</t>
  </si>
  <si>
    <t>Calzada José Vasconcelos 215</t>
  </si>
  <si>
    <t>Fraccionamiento Torreon Residencial</t>
  </si>
  <si>
    <t>9141495</t>
  </si>
  <si>
    <t>Avenida Heroico Colegio Militar 225</t>
  </si>
  <si>
    <t>10267341</t>
  </si>
  <si>
    <t>Calle Sierra De La Candela sin número</t>
  </si>
  <si>
    <t>Colonia Cd Nazas</t>
  </si>
  <si>
    <t>10474857</t>
  </si>
  <si>
    <t>LAVANDERIA SMART CLEAN</t>
  </si>
  <si>
    <t>Calzada Manuel Gomez Morin 299</t>
  </si>
  <si>
    <t>871 233 2040</t>
  </si>
  <si>
    <t>9559919</t>
  </si>
  <si>
    <t>LAVANDERIA TE LAVAMOS</t>
  </si>
  <si>
    <t>Calzada General Cepeda sin número</t>
  </si>
  <si>
    <t>Colonia Valle Revolucion</t>
  </si>
  <si>
    <t>6966156</t>
  </si>
  <si>
    <t>LAVANDERIA TRC</t>
  </si>
  <si>
    <t>Calle Praxedis Guerrero sin número, interior 4</t>
  </si>
  <si>
    <t>Colonia Palma San Isidro</t>
  </si>
  <si>
    <t>27104</t>
  </si>
  <si>
    <t>lavanderiatrc@gmail.com</t>
  </si>
  <si>
    <t>8164889</t>
  </si>
  <si>
    <t>LAVANDERIA ULTRA CLEAN</t>
  </si>
  <si>
    <t>Calle Chichimecas 91 B</t>
  </si>
  <si>
    <t>Colonia El Tajito</t>
  </si>
  <si>
    <t>27100</t>
  </si>
  <si>
    <t>7590468</t>
  </si>
  <si>
    <t>LAVANDERIA ULTRA KLIN</t>
  </si>
  <si>
    <t>Calle Paseo De La Rosita 305, interior 1</t>
  </si>
  <si>
    <t>ultraklin.express@gmail.com</t>
  </si>
  <si>
    <t>306643</t>
  </si>
  <si>
    <t>LAVANDERIA VIENA</t>
  </si>
  <si>
    <t>Calle Tarascos sin número</t>
  </si>
  <si>
    <t>Fraccionamiento El Tajito</t>
  </si>
  <si>
    <t>10080049</t>
  </si>
  <si>
    <t>LAVANDERIA WACH</t>
  </si>
  <si>
    <t>Calle Buenos Aires 832</t>
  </si>
  <si>
    <t>Fraccionamiento Campo Nuevo Ii</t>
  </si>
  <si>
    <t>27275</t>
  </si>
  <si>
    <t>871 103 4485</t>
  </si>
  <si>
    <t>10498728</t>
  </si>
  <si>
    <t>LAVANDERIA Y PLANCHA</t>
  </si>
  <si>
    <t>GUADALUPE GARCIA</t>
  </si>
  <si>
    <t>Calzada Division Del Norte 275 1</t>
  </si>
  <si>
    <t>Residencial La Hacienda</t>
  </si>
  <si>
    <t>871 284 7967</t>
  </si>
  <si>
    <t>6967236</t>
  </si>
  <si>
    <t>LAVANDERIA Y PLANCHA LUPITA</t>
  </si>
  <si>
    <t>Calzada Manuel Gomez Morin 113</t>
  </si>
  <si>
    <t>871 242 2369</t>
  </si>
  <si>
    <t>6966931</t>
  </si>
  <si>
    <t>LAVANDERIA Y PLANCHADO AM</t>
  </si>
  <si>
    <t>Calle Juan Agustin De Espinoza 475</t>
  </si>
  <si>
    <t>871 178 1901</t>
  </si>
  <si>
    <t>9702700</t>
  </si>
  <si>
    <t>LAVANDERIA Y PLANCHADURIA GARDENIA</t>
  </si>
  <si>
    <t>Calzada Avila Camacho 1903 3</t>
  </si>
  <si>
    <t>871 350 3399</t>
  </si>
  <si>
    <t>8729079</t>
  </si>
  <si>
    <t>LAVANDERIA Y PLANCHADURIA JC</t>
  </si>
  <si>
    <t>Boulevard Independencia 1110, interior 88, Plaza Independencia Torreo</t>
  </si>
  <si>
    <t>871 189 3228</t>
  </si>
  <si>
    <t>chita_0403@hotmail.com</t>
  </si>
  <si>
    <t>284611</t>
  </si>
  <si>
    <t>Calle Efrain Lopez Sanchez 550 3</t>
  </si>
  <si>
    <t>Fraccionamiento Quintas Campestre Los Laureles</t>
  </si>
  <si>
    <t>27053</t>
  </si>
  <si>
    <t>871 132 4214</t>
  </si>
  <si>
    <t>8692590</t>
  </si>
  <si>
    <t>LAVANDERIA Y PLANCHADURIA LAVA PLUS</t>
  </si>
  <si>
    <t>Calle Pino Suarez 494</t>
  </si>
  <si>
    <t>Colonia Moderna</t>
  </si>
  <si>
    <t>27170</t>
  </si>
  <si>
    <t>871 670 6462</t>
  </si>
  <si>
    <t>10793116</t>
  </si>
  <si>
    <t>LAVANDERIA Y TINTORERIA MANHATAN</t>
  </si>
  <si>
    <t>Avenida Prolongacion Nicolas Bravo 4498</t>
  </si>
  <si>
    <t>871 280 2229</t>
  </si>
  <si>
    <t>301824</t>
  </si>
  <si>
    <t>LAVANDERIA Y TINTORERIA MI ANGEL</t>
  </si>
  <si>
    <t>Boulevard Boulevard De La Nogalera sin número, Plaza Aurora</t>
  </si>
  <si>
    <t>Ejido La Union</t>
  </si>
  <si>
    <t>27015</t>
  </si>
  <si>
    <t>10136860</t>
  </si>
  <si>
    <t>LAVARICH</t>
  </si>
  <si>
    <t>RICARDO ZUÑIGA</t>
  </si>
  <si>
    <t>Calle Asia 95</t>
  </si>
  <si>
    <t>6967349</t>
  </si>
  <si>
    <t>LAWASH</t>
  </si>
  <si>
    <t>Calle Juarez sin número</t>
  </si>
  <si>
    <t>Fraccionamiento Sol De Oriente Iii</t>
  </si>
  <si>
    <t>8165266</t>
  </si>
  <si>
    <t>LAWASH LAVANDERIA</t>
  </si>
  <si>
    <t>6965935</t>
  </si>
  <si>
    <t>Calle La Libertad 559, interior 4</t>
  </si>
  <si>
    <t>Fraccionamiento Chapultepec</t>
  </si>
  <si>
    <t>11286852</t>
  </si>
  <si>
    <t>LAWASH LAVANDERIA Y TINTORERIA</t>
  </si>
  <si>
    <t>GRUPO LAVENTTI</t>
  </si>
  <si>
    <t>Calzada Luisa sin número</t>
  </si>
  <si>
    <t>Fraccionamiento Anna</t>
  </si>
  <si>
    <t>27410</t>
  </si>
  <si>
    <t>9778576</t>
  </si>
  <si>
    <t>LAWASH LAVANDERIAS</t>
  </si>
  <si>
    <t>Otro(Especifique) 980, interior 2</t>
  </si>
  <si>
    <t>8798402</t>
  </si>
  <si>
    <t>LIMPISIMA LAVANDERIA</t>
  </si>
  <si>
    <t>Calzada Cuauhtemoc 777</t>
  </si>
  <si>
    <t>ventas@limpisimalavanderia.com</t>
  </si>
  <si>
    <t>www.limpisimalavanderia.com</t>
  </si>
  <si>
    <t>7696952</t>
  </si>
  <si>
    <t>MARAVILLA LAVANDERIA Y TINTORERIA</t>
  </si>
  <si>
    <t>Calle Leandro Valle 448, Sin Nombre</t>
  </si>
  <si>
    <t>7010131</t>
  </si>
  <si>
    <t>MAS CLEAN LAVANDERIA</t>
  </si>
  <si>
    <t>Calle Calle De La Libertad sin número</t>
  </si>
  <si>
    <t>Fraccionamiento Monterreal</t>
  </si>
  <si>
    <t>871 582 6884</t>
  </si>
  <si>
    <t>6966823</t>
  </si>
  <si>
    <t>OFICINA ADMINISTRATIVA DE TINTORERIAS MAX</t>
  </si>
  <si>
    <t>Prolongacion Alvarez 2005</t>
  </si>
  <si>
    <t>9424706</t>
  </si>
  <si>
    <t>OZOM TINTORERIA ESPECIALIZADA</t>
  </si>
  <si>
    <t>DOUBLE CLEAN DE MEXICO</t>
  </si>
  <si>
    <t>Calle Paseo De La Rosita 602</t>
  </si>
  <si>
    <t>torreon@ozomtintoreria.com</t>
  </si>
  <si>
    <t>www.ozomtintoreria.com</t>
  </si>
  <si>
    <t>9450406</t>
  </si>
  <si>
    <t>PLANCHA MAX</t>
  </si>
  <si>
    <t>Calzada Saltillo 400 813, interior 2</t>
  </si>
  <si>
    <t>309345</t>
  </si>
  <si>
    <t>PLANCHA VELOZ</t>
  </si>
  <si>
    <t>RUBEN FUENTES</t>
  </si>
  <si>
    <t>Calle Rio Danubio 610</t>
  </si>
  <si>
    <t>871 253 8438</t>
  </si>
  <si>
    <t>305659</t>
  </si>
  <si>
    <t>Avenida Laguna Mayran 299</t>
  </si>
  <si>
    <t>Colonia Torreon Jardin</t>
  </si>
  <si>
    <t>27200</t>
  </si>
  <si>
    <t>7710400</t>
  </si>
  <si>
    <t>PLANCHADITO</t>
  </si>
  <si>
    <t>Calzada Manuel Gomez Morin sin número</t>
  </si>
  <si>
    <t>871 243 1046</t>
  </si>
  <si>
    <t>309315</t>
  </si>
  <si>
    <t>PLANCHADURIA GALVAN</t>
  </si>
  <si>
    <t>Calle Ramos Arizpe 121</t>
  </si>
  <si>
    <t>Colonia Ana</t>
  </si>
  <si>
    <t>871 745 0705</t>
  </si>
  <si>
    <t>10829527</t>
  </si>
  <si>
    <t>PLANCHADURIA LA PLANCHITA</t>
  </si>
  <si>
    <t>Calle Calle Del Sol 710</t>
  </si>
  <si>
    <t>Colonia Ampliacion La Rosita</t>
  </si>
  <si>
    <t>871 363 7167</t>
  </si>
  <si>
    <t>282784</t>
  </si>
  <si>
    <t>PLANCHADURIA LULU</t>
  </si>
  <si>
    <t>Boulevard Diagonal De Las Fuentes 509 B</t>
  </si>
  <si>
    <t>282874</t>
  </si>
  <si>
    <t>PLANCHADURIA MAS CLEAN</t>
  </si>
  <si>
    <t>Calle Calle Del Querubin 620</t>
  </si>
  <si>
    <t>27298</t>
  </si>
  <si>
    <t>7009766</t>
  </si>
  <si>
    <t>PLANCHADURIA SATELITE</t>
  </si>
  <si>
    <t>Prolongacion Urano sin número</t>
  </si>
  <si>
    <t>Colonia Allende</t>
  </si>
  <si>
    <t>7041200</t>
  </si>
  <si>
    <t>QUALITY WASH</t>
  </si>
  <si>
    <t>Calzada Antonio De Juambelz Calle 32 sin número</t>
  </si>
  <si>
    <t>871 582 4146</t>
  </si>
  <si>
    <t>281454</t>
  </si>
  <si>
    <t>SASTRERIA SL</t>
  </si>
  <si>
    <t>BLANCA MARTINEZVILLEGAS</t>
  </si>
  <si>
    <t>Calle Sertoma 33 1, interior 1</t>
  </si>
  <si>
    <t>Colonia Nueva Los Angeles</t>
  </si>
  <si>
    <t>871 325 2288</t>
  </si>
  <si>
    <t>11317413</t>
  </si>
  <si>
    <t>SERVICIO DE PLANCHADO LA PLANCHITA</t>
  </si>
  <si>
    <t>Boulevard Constitucion 101</t>
  </si>
  <si>
    <t>871 505 2946</t>
  </si>
  <si>
    <t>303833</t>
  </si>
  <si>
    <t>TINTERERIA CLYN MEMBERS</t>
  </si>
  <si>
    <t>TINTORERIA CLYN MEMBERS</t>
  </si>
  <si>
    <t>Boulevard Independencia 1699</t>
  </si>
  <si>
    <t>Colonia San Isidro</t>
  </si>
  <si>
    <t>www.clynmembers.com</t>
  </si>
  <si>
    <t>284434</t>
  </si>
  <si>
    <t>TINTO SPEED</t>
  </si>
  <si>
    <t>Boulevard Centenario 402 13</t>
  </si>
  <si>
    <t>Colonia Santa Barbara</t>
  </si>
  <si>
    <t>871 645 9919</t>
  </si>
  <si>
    <t>tomas.gerardo31@gmail.com</t>
  </si>
  <si>
    <t>10796114</t>
  </si>
  <si>
    <t>TINTO SPEED LAVANDERIA Y TINTORERIA</t>
  </si>
  <si>
    <t>Calle 10995 7</t>
  </si>
  <si>
    <t>Fraccionamiento Los Viñedos</t>
  </si>
  <si>
    <t>279056</t>
  </si>
  <si>
    <t>TINTORERIA</t>
  </si>
  <si>
    <t>Boulevard Pedro Rodriguez Triana 730, interior 2, Plaza Santa Anita</t>
  </si>
  <si>
    <t>Fraccionamiento Santa Anita</t>
  </si>
  <si>
    <t>27294</t>
  </si>
  <si>
    <t>871 730 1133</t>
  </si>
  <si>
    <t>11616144</t>
  </si>
  <si>
    <t>Avenida Aldama 1058</t>
  </si>
  <si>
    <t>300165</t>
  </si>
  <si>
    <t>TINTORERIA 5A SEC</t>
  </si>
  <si>
    <t>FRANQUILAG</t>
  </si>
  <si>
    <t>Boulevard Revolucion 2840 05, interior 5 E</t>
  </si>
  <si>
    <t>8948570</t>
  </si>
  <si>
    <t>TINTORERIA BRAVO</t>
  </si>
  <si>
    <t>ANDRES FRANCO</t>
  </si>
  <si>
    <t>Avenida Bravo 1898 OTE</t>
  </si>
  <si>
    <t>871 793 1082</t>
  </si>
  <si>
    <t>306917</t>
  </si>
  <si>
    <t>Avenida Matamoros 495</t>
  </si>
  <si>
    <t>871 712 5130</t>
  </si>
  <si>
    <t>299124</t>
  </si>
  <si>
    <t>TINTORERIA MAJESTIC</t>
  </si>
  <si>
    <t>Calle Treviño 274</t>
  </si>
  <si>
    <t>tintoreriamajestic@gmail.com</t>
  </si>
  <si>
    <t>222449</t>
  </si>
  <si>
    <t>Calzada Saltillo 400 754</t>
  </si>
  <si>
    <t>www.tintoreriamax.com.mx</t>
  </si>
  <si>
    <t>6302717</t>
  </si>
  <si>
    <t>Calle 10995, interior 12</t>
  </si>
  <si>
    <t>871 212 1260</t>
  </si>
  <si>
    <t>www.tintoreriasmax.com</t>
  </si>
  <si>
    <t>279049</t>
  </si>
  <si>
    <t>Carretera Boulevard De La Nogalera 1990</t>
  </si>
  <si>
    <t>Fraccionamiento Las Villas</t>
  </si>
  <si>
    <t>6418044</t>
  </si>
  <si>
    <t>Calle Independencia 3545, interior 3, Plaza Real</t>
  </si>
  <si>
    <t>6300960</t>
  </si>
  <si>
    <t>Calle Paseo De La Rosita 505</t>
  </si>
  <si>
    <t>Colonia Residencial Campestre La Rosita</t>
  </si>
  <si>
    <t>6300888</t>
  </si>
  <si>
    <t>Boulevard Independencia 1121, Plaza San Isidro</t>
  </si>
  <si>
    <t>Colonia Granjas San Isidro</t>
  </si>
  <si>
    <t>871 722 5252</t>
  </si>
  <si>
    <t>6300856</t>
  </si>
  <si>
    <t>TINTORERIA PLUS CLYN MEMBERS</t>
  </si>
  <si>
    <t>Boulevard De La Senda 317, Pabellon Senderos</t>
  </si>
  <si>
    <t>www.clynmembers.com.mx</t>
  </si>
  <si>
    <t>278397</t>
  </si>
  <si>
    <t>TINTORERIA PRESTO</t>
  </si>
  <si>
    <t>CRISP SERVICE</t>
  </si>
  <si>
    <t>Calle Independencia 3875, interior 3</t>
  </si>
  <si>
    <t>Colonia El Fresno</t>
  </si>
  <si>
    <t>7696736</t>
  </si>
  <si>
    <t>TINTORERIA QUICK CLEAN</t>
  </si>
  <si>
    <t>Calle Independencia 3775, Plaza</t>
  </si>
  <si>
    <t>871 516 5212</t>
  </si>
  <si>
    <t>9648992</t>
  </si>
  <si>
    <t>TINTORERIA TORREON</t>
  </si>
  <si>
    <t>Prolongacion Cristobal Colon 402</t>
  </si>
  <si>
    <t>299540</t>
  </si>
  <si>
    <t>TINTORERIA URBAN CLEAN</t>
  </si>
  <si>
    <t>GRUPO MEXINVALE</t>
  </si>
  <si>
    <t>Calle 2934, Heb Senderos</t>
  </si>
  <si>
    <t>Fraccionamiento Senderos</t>
  </si>
  <si>
    <t>871 137 2776</t>
  </si>
  <si>
    <t>10572274</t>
  </si>
  <si>
    <t>TINTORERIA Y LAVANDERIA MARAVILLA</t>
  </si>
  <si>
    <t>Avenida Universidad 1697 4</t>
  </si>
  <si>
    <t>Colonia Prados Del Oriente</t>
  </si>
  <si>
    <t>27295</t>
  </si>
  <si>
    <t>871 415 5763</t>
  </si>
  <si>
    <t>9847132</t>
  </si>
  <si>
    <t>TINTORERIAS 5A SEC</t>
  </si>
  <si>
    <t>Boulevard Independencia 1500, interior 22 Y 23 E</t>
  </si>
  <si>
    <t>871 722 9073</t>
  </si>
  <si>
    <t>305670</t>
  </si>
  <si>
    <t>TRAPITOS PLUS</t>
  </si>
  <si>
    <t>Boulevard De La Senda 381, Plaza La Cienega</t>
  </si>
  <si>
    <t>871 212 1144</t>
  </si>
  <si>
    <t>278374</t>
  </si>
  <si>
    <t>LAVA EXPRESS</t>
  </si>
  <si>
    <t>Boulevard Profesor Jose Santos Valdes sin número</t>
  </si>
  <si>
    <t>Colonia Ejidal</t>
  </si>
  <si>
    <t>27447</t>
  </si>
  <si>
    <t>871 264 7046</t>
  </si>
  <si>
    <t>6933554</t>
  </si>
  <si>
    <t>LAVANDERIA KAROL WASH</t>
  </si>
  <si>
    <t>Avenida Avenida Del Valle sin número</t>
  </si>
  <si>
    <t>Fraccionamiento Valle Hermoso</t>
  </si>
  <si>
    <t>27446</t>
  </si>
  <si>
    <t>871 220 8947</t>
  </si>
  <si>
    <t>273408</t>
  </si>
  <si>
    <t>RENTA DE LAVADORAS</t>
  </si>
  <si>
    <t>Avenida Mejia 1014</t>
  </si>
  <si>
    <t>Colonia Rosalinda Ramírez</t>
  </si>
  <si>
    <t>27445</t>
  </si>
  <si>
    <t>871 583 5108</t>
  </si>
  <si>
    <t>10898747</t>
  </si>
  <si>
    <t>LA NUEVA LAVANDERIA VILLASEÑOR</t>
  </si>
  <si>
    <t>Calle Mariano Escobedo sin número</t>
  </si>
  <si>
    <t>Colonia Valenzuela</t>
  </si>
  <si>
    <t>34455</t>
  </si>
  <si>
    <t>562 861 9389</t>
  </si>
  <si>
    <t>11170995</t>
  </si>
  <si>
    <t>Calle Independencia sin número</t>
  </si>
  <si>
    <t>34450</t>
  </si>
  <si>
    <t>1097297</t>
  </si>
  <si>
    <t>ALBA QUINTANA</t>
  </si>
  <si>
    <t>Calle Aldama sin número</t>
  </si>
  <si>
    <t>34409</t>
  </si>
  <si>
    <t>677 879 4244</t>
  </si>
  <si>
    <t>10044292</t>
  </si>
  <si>
    <t>LAVANDERIA LE RENDE VOU</t>
  </si>
  <si>
    <t>Calle Lerdo De Tejada 501 A</t>
  </si>
  <si>
    <t>34457</t>
  </si>
  <si>
    <t>677 109 1016</t>
  </si>
  <si>
    <t>1069666</t>
  </si>
  <si>
    <t>LAVANDERIA SUPER LIMPIA</t>
  </si>
  <si>
    <t>Calle Mariano Escobedo 102</t>
  </si>
  <si>
    <t>Otro Centro</t>
  </si>
  <si>
    <t>8414345</t>
  </si>
  <si>
    <t>Cuencamé de Ceniceros</t>
  </si>
  <si>
    <t>LAVADERIA LA BURBUJA</t>
  </si>
  <si>
    <t>Calle Colon 316</t>
  </si>
  <si>
    <t>Colonia Los Pirules</t>
  </si>
  <si>
    <t>35805</t>
  </si>
  <si>
    <t>10673300</t>
  </si>
  <si>
    <t>LAVANDERIA LA PLAZUELA</t>
  </si>
  <si>
    <t>Calle 10 De Mayo 107</t>
  </si>
  <si>
    <t>Colonia La Plazuela</t>
  </si>
  <si>
    <t>10005218</t>
  </si>
  <si>
    <t>LAVANDERIA MI VICTORIA</t>
  </si>
  <si>
    <t>Avenida Calixto Contreras 510</t>
  </si>
  <si>
    <t>Colonia La Lomita</t>
  </si>
  <si>
    <t>871 756 2166</t>
  </si>
  <si>
    <t>7704590</t>
  </si>
  <si>
    <t>Santa María del Oro</t>
  </si>
  <si>
    <t>Avenida Adolfo Lopez Mateos 31 A</t>
  </si>
  <si>
    <t>35690</t>
  </si>
  <si>
    <t>1104420</t>
  </si>
  <si>
    <t>TINTORERIA Y LAVANDERIA LA BURBUJA</t>
  </si>
  <si>
    <t>Calle sin número</t>
  </si>
  <si>
    <t>Barrio El Mirador</t>
  </si>
  <si>
    <t>649 116 3557</t>
  </si>
  <si>
    <t>1073318</t>
  </si>
  <si>
    <t>Calle Felipe Carrillo Puerto 201, interior 3</t>
  </si>
  <si>
    <t>Barrio Zona Centro</t>
  </si>
  <si>
    <t>34700</t>
  </si>
  <si>
    <t>1071536</t>
  </si>
  <si>
    <t>LAVANDERIA CLEAN</t>
  </si>
  <si>
    <t>Calle Zaragoza 311</t>
  </si>
  <si>
    <t>Barrio Mi Ranchito</t>
  </si>
  <si>
    <t>34704</t>
  </si>
  <si>
    <t>676 100 0964</t>
  </si>
  <si>
    <t>1108675</t>
  </si>
  <si>
    <t>LAVANDERIA ECO</t>
  </si>
  <si>
    <t>Calle Ignacio Allende sin número</t>
  </si>
  <si>
    <t>Barrio La Noria</t>
  </si>
  <si>
    <t>676 882 0010</t>
  </si>
  <si>
    <t>1108774</t>
  </si>
  <si>
    <t>LAVANDERIA MAGGI</t>
  </si>
  <si>
    <t>Calzada Lazaro Cardenas 107</t>
  </si>
  <si>
    <t>9167625</t>
  </si>
  <si>
    <t>LAVANDERIA MEDIA NET</t>
  </si>
  <si>
    <t>Calle Corregidora sin número</t>
  </si>
  <si>
    <t>676 117 4903</t>
  </si>
  <si>
    <t>8510401</t>
  </si>
  <si>
    <t>LAVANDERIA Y TINTONTERIA NERO</t>
  </si>
  <si>
    <t>Calle Felipe Carrillo Puerto 212 A</t>
  </si>
  <si>
    <t>1071049</t>
  </si>
  <si>
    <t>Calle Aquiles Serdan sin número</t>
  </si>
  <si>
    <t>Barrio Centro</t>
  </si>
  <si>
    <t>35400</t>
  </si>
  <si>
    <t>9574134</t>
  </si>
  <si>
    <t>Bermejillo</t>
  </si>
  <si>
    <t>FUSSION LAVADO</t>
  </si>
  <si>
    <t>Avenida Ignacio Allende 51</t>
  </si>
  <si>
    <t>Localidad Bermejillo</t>
  </si>
  <si>
    <t>35230</t>
  </si>
  <si>
    <t>872 108 0017</t>
  </si>
  <si>
    <t>8509809</t>
  </si>
  <si>
    <t>Calle Hidalgo sin número</t>
  </si>
  <si>
    <t>Localidad Mapimi</t>
  </si>
  <si>
    <t>35200</t>
  </si>
  <si>
    <t>872 100 1202</t>
  </si>
  <si>
    <t>11553144</t>
  </si>
  <si>
    <t>San Francisco del Mezquital</t>
  </si>
  <si>
    <t>LAVANDARIA MARI</t>
  </si>
  <si>
    <t>Calle Benito Juarez sin número</t>
  </si>
  <si>
    <t>34973</t>
  </si>
  <si>
    <t>675 108 3578</t>
  </si>
  <si>
    <t>7425778</t>
  </si>
  <si>
    <t>LAVANDERIA ITSLEY</t>
  </si>
  <si>
    <t>Calle Principal sin número</t>
  </si>
  <si>
    <t>34970</t>
  </si>
  <si>
    <t>675 100 8185</t>
  </si>
  <si>
    <t>1113134</t>
  </si>
  <si>
    <t>LAVANDERIA Y TINTORERIA TALAMANTES</t>
  </si>
  <si>
    <t>Calle Abasolo sin número</t>
  </si>
  <si>
    <t>Barrio El Tigre</t>
  </si>
  <si>
    <t>35700</t>
  </si>
  <si>
    <t>677 871 8024</t>
  </si>
  <si>
    <t>10622673</t>
  </si>
  <si>
    <t>Avenida Fray Geronimo De Mendoza sin número</t>
  </si>
  <si>
    <t>34840</t>
  </si>
  <si>
    <t>618 300 0429</t>
  </si>
  <si>
    <t>11096828</t>
  </si>
  <si>
    <t>LAVANDERIA ROCARE</t>
  </si>
  <si>
    <t>Calle Breceda 114</t>
  </si>
  <si>
    <t>Colonia Breceda</t>
  </si>
  <si>
    <t>34845</t>
  </si>
  <si>
    <t>618 213 3740</t>
  </si>
  <si>
    <t>10544331</t>
  </si>
  <si>
    <t>DEVACLEAN LAVANDERIA</t>
  </si>
  <si>
    <t>DEISY VAZQUEZ</t>
  </si>
  <si>
    <t>Calle Guadalupe Victoria 604 B3</t>
  </si>
  <si>
    <t>34414</t>
  </si>
  <si>
    <t>677 101 5502</t>
  </si>
  <si>
    <t>10542452</t>
  </si>
  <si>
    <t>LAVANDERIA FLASH</t>
  </si>
  <si>
    <t>Avenida Miguel Aleman sin número</t>
  </si>
  <si>
    <t>Colonia Guadalupe Victoria</t>
  </si>
  <si>
    <t>34410</t>
  </si>
  <si>
    <t>677 112 8899</t>
  </si>
  <si>
    <t>10343571</t>
  </si>
  <si>
    <t>LAVANDERIA LAVA-EXPRESS</t>
  </si>
  <si>
    <t>Avenida Miguel Aleman 104 4</t>
  </si>
  <si>
    <t>34422</t>
  </si>
  <si>
    <t>618 134 7414</t>
  </si>
  <si>
    <t>8640599</t>
  </si>
  <si>
    <t>LAVANDERIA NUEVO IDEAL</t>
  </si>
  <si>
    <t>Colonia Libertad</t>
  </si>
  <si>
    <t>618 174 7914</t>
  </si>
  <si>
    <t>10830959</t>
  </si>
  <si>
    <t>Avenida Miguel Hidalgo Y Costilla sin número</t>
  </si>
  <si>
    <t>Colonia Benito Juarez</t>
  </si>
  <si>
    <t>8414573</t>
  </si>
  <si>
    <t>Villa las Nieves</t>
  </si>
  <si>
    <t>LAVANDERIA LAS NIEVES</t>
  </si>
  <si>
    <t>Avenida Ignacio Allende sin número</t>
  </si>
  <si>
    <t>35381</t>
  </si>
  <si>
    <t>649 197 4791</t>
  </si>
  <si>
    <t>10154176</t>
  </si>
  <si>
    <t>Carretera Carretera Panamericana sin número</t>
  </si>
  <si>
    <t>Colonia Cipres</t>
  </si>
  <si>
    <t>649 196 1857</t>
  </si>
  <si>
    <t>10403582</t>
  </si>
  <si>
    <t>Francisco I. Madero</t>
  </si>
  <si>
    <t>LAVANDERIA LA UNICA</t>
  </si>
  <si>
    <t>Avenida Gustavo A Madero 209 B</t>
  </si>
  <si>
    <t>34770</t>
  </si>
  <si>
    <t>677 100 7483</t>
  </si>
  <si>
    <t>10714073</t>
  </si>
  <si>
    <t>LAVANDERIA LA YESI</t>
  </si>
  <si>
    <t>RAUL FLORES</t>
  </si>
  <si>
    <t>Calle Francisco Sarabia sin número</t>
  </si>
  <si>
    <t>10513885</t>
  </si>
  <si>
    <t>Villa Unión</t>
  </si>
  <si>
    <t>LAVADO Y HORMA LOCO WESTER</t>
  </si>
  <si>
    <t>MARIO VALENZUELA</t>
  </si>
  <si>
    <t>Calle Francisco I Madero 115</t>
  </si>
  <si>
    <t>34800</t>
  </si>
  <si>
    <t>675 113 5261</t>
  </si>
  <si>
    <t>10941818</t>
  </si>
  <si>
    <t>LAVANDERIA LA BURBUJITA</t>
  </si>
  <si>
    <t>Calle Juarez 210, La Plazuela</t>
  </si>
  <si>
    <t>1108060</t>
  </si>
  <si>
    <t>LAVANDERIA VICTORIA</t>
  </si>
  <si>
    <t>Calle 20 De Noviembre sin número</t>
  </si>
  <si>
    <t>Colonia La Hacienda</t>
  </si>
  <si>
    <t>675 127 6326</t>
  </si>
  <si>
    <t>9993297</t>
  </si>
  <si>
    <t>RENTA LAVADORAS</t>
  </si>
  <si>
    <t>Calle Primero De Mayo sin número</t>
  </si>
  <si>
    <t>Colonia Pueblo Nuevo</t>
  </si>
  <si>
    <t>34803</t>
  </si>
  <si>
    <t>675 103 4176</t>
  </si>
  <si>
    <t>10671673</t>
  </si>
  <si>
    <t>El Salto</t>
  </si>
  <si>
    <t>Calle 16 De Septiembre sin número</t>
  </si>
  <si>
    <t>34940</t>
  </si>
  <si>
    <t>675 876 0337</t>
  </si>
  <si>
    <t>1080260</t>
  </si>
  <si>
    <t>675 115 7576</t>
  </si>
  <si>
    <t>fatimacontreras082@gmail.com</t>
  </si>
  <si>
    <t>7425315</t>
  </si>
  <si>
    <t>La Ciudad</t>
  </si>
  <si>
    <t>Calle Cuencame sin número</t>
  </si>
  <si>
    <t>Localidad La Ciudad</t>
  </si>
  <si>
    <t>34955</t>
  </si>
  <si>
    <t>9611402</t>
  </si>
  <si>
    <t>Calle Conquistas Agrarias sin número</t>
  </si>
  <si>
    <t>Colonia Eta</t>
  </si>
  <si>
    <t>35760</t>
  </si>
  <si>
    <t>677 879 9148</t>
  </si>
  <si>
    <t>9380366</t>
  </si>
  <si>
    <t>Carretera Panamericana sin número</t>
  </si>
  <si>
    <t>10436826</t>
  </si>
  <si>
    <t>LAVANDERIA Y PLANCHADURIA SUPER LAVANDERAS</t>
  </si>
  <si>
    <t>677 102 8547</t>
  </si>
  <si>
    <t>9618351</t>
  </si>
  <si>
    <t>Tayoltita</t>
  </si>
  <si>
    <t>Calle De Los Fresnos sin número</t>
  </si>
  <si>
    <t>Barrio Juarez</t>
  </si>
  <si>
    <t>34690</t>
  </si>
  <si>
    <t>1080434</t>
  </si>
  <si>
    <t>San Juan del Río del Centauro del Norte</t>
  </si>
  <si>
    <t>LAVANDERIA CHA CA CHA CA</t>
  </si>
  <si>
    <t>Barrio La Quinta</t>
  </si>
  <si>
    <t>34480</t>
  </si>
  <si>
    <t>1069783</t>
  </si>
  <si>
    <t>LAVADO Y PLANCHADO EL CENTRO</t>
  </si>
  <si>
    <t>Privada Laberinto sin número</t>
  </si>
  <si>
    <t>34630</t>
  </si>
  <si>
    <t>10875194</t>
  </si>
  <si>
    <t>Calle Armando Fernandez 310 A</t>
  </si>
  <si>
    <t>Colonia Altamira</t>
  </si>
  <si>
    <t>34635</t>
  </si>
  <si>
    <t>7307136</t>
  </si>
  <si>
    <t>Avenida Heroico Colegio Militar sin número</t>
  </si>
  <si>
    <t>674 105 0548</t>
  </si>
  <si>
    <t>9675031</t>
  </si>
  <si>
    <t>LAVANDERIA LA CHINA</t>
  </si>
  <si>
    <t>Calle Violeta 18 L</t>
  </si>
  <si>
    <t>Colonia Valle Dorado</t>
  </si>
  <si>
    <t>674 105 3800</t>
  </si>
  <si>
    <t>11022712</t>
  </si>
  <si>
    <t>LAVANDERIA LAVA MAX</t>
  </si>
  <si>
    <t>Calle Miguel Hidalgo 610</t>
  </si>
  <si>
    <t>Colonia Solidaridad</t>
  </si>
  <si>
    <t>674 862 3521</t>
  </si>
  <si>
    <t>1075662</t>
  </si>
  <si>
    <t>LAVANDERIA LAVA-PLUS</t>
  </si>
  <si>
    <t>Calle Francisco Ramirez sin número</t>
  </si>
  <si>
    <t>674 110 0886</t>
  </si>
  <si>
    <t>1075742</t>
  </si>
  <si>
    <t>LAVANDERIA MUÑOZ</t>
  </si>
  <si>
    <t>BRENDA PEÑA</t>
  </si>
  <si>
    <t>Calle Donato Guerra 203</t>
  </si>
  <si>
    <t>674 105 5734</t>
  </si>
  <si>
    <t>10239778</t>
  </si>
  <si>
    <t>Calle Mezquital sin número</t>
  </si>
  <si>
    <t>Colonia El Paraíso</t>
  </si>
  <si>
    <t>1076426</t>
  </si>
  <si>
    <t>LAVANDERIAY PLANCHADURIA JENY</t>
  </si>
  <si>
    <t>Calle Cazadero sin número</t>
  </si>
  <si>
    <t>Colonia Campestre</t>
  </si>
  <si>
    <t>674 106 2493</t>
  </si>
  <si>
    <t>7306897</t>
  </si>
  <si>
    <t>TINTORERIA CLEO</t>
  </si>
  <si>
    <t>Calle Reforma 102</t>
  </si>
  <si>
    <t>674 862 1701</t>
  </si>
  <si>
    <t>1076011</t>
  </si>
  <si>
    <t>Tamazula de Victoria</t>
  </si>
  <si>
    <t>LAVADANDERIA VIRGINIA</t>
  </si>
  <si>
    <t>LUISA LOPEZ</t>
  </si>
  <si>
    <t>34580</t>
  </si>
  <si>
    <t>667 995 3551</t>
  </si>
  <si>
    <t>10681821</t>
  </si>
  <si>
    <t>Santa Catarina de Tepehuanes</t>
  </si>
  <si>
    <t>Prolongacion Hidalgo sin número</t>
  </si>
  <si>
    <t>Colonia Herrera</t>
  </si>
  <si>
    <t>35600</t>
  </si>
  <si>
    <t>11388639</t>
  </si>
  <si>
    <t>Calle Vicente Guerrero 326</t>
  </si>
  <si>
    <t>1075053</t>
  </si>
  <si>
    <t>Tlahualilo de Zaragoza</t>
  </si>
  <si>
    <t>LAVANDERIA MAYELA</t>
  </si>
  <si>
    <t>Avenida Baja California sin número</t>
  </si>
  <si>
    <t>Localidad Tlahualilo</t>
  </si>
  <si>
    <t>35250</t>
  </si>
  <si>
    <t>872 105 6858</t>
  </si>
  <si>
    <t>8554232</t>
  </si>
  <si>
    <t>LAVANDERIA DIANA</t>
  </si>
  <si>
    <t>Calle Vicente Guerrero 118</t>
  </si>
  <si>
    <t>34890</t>
  </si>
  <si>
    <t>675 106 4684</t>
  </si>
  <si>
    <t>1114796</t>
  </si>
  <si>
    <t>Avenida 5 De Febrero 123 B</t>
  </si>
  <si>
    <t>1107041</t>
  </si>
  <si>
    <t>LAVANDERIA PATY</t>
  </si>
  <si>
    <t>Calle Emiliano Zapata 206</t>
  </si>
  <si>
    <t>Colonia Revolucion</t>
  </si>
  <si>
    <t>618 157 2237</t>
  </si>
  <si>
    <t>10111148</t>
  </si>
  <si>
    <t>Otros negocios que podrían lavar ropa</t>
  </si>
  <si>
    <t>El INEGI los registró con otra actividad, pero su nombre dice lavandería o tintorería. No están en el Listado ni en el Resumen.</t>
  </si>
  <si>
    <t>Actividad registrada</t>
  </si>
  <si>
    <t>LAVANDERIA Y CIBER VICTORIA</t>
  </si>
  <si>
    <t>Servicios de acceso a computadoras</t>
  </si>
  <si>
    <t>Calle Cetus 112</t>
  </si>
  <si>
    <t>Fraccionamiento Villas Del Guadiana Ii</t>
  </si>
  <si>
    <t>9032034</t>
  </si>
  <si>
    <t>INDUSTRIAS APPAREL LAVANDERIA</t>
  </si>
  <si>
    <t>Confección en serie de otra ropa exterior de materiales textiles</t>
  </si>
  <si>
    <t>Calle Guanaceví 207</t>
  </si>
  <si>
    <t>6866367</t>
  </si>
  <si>
    <t>LAVANDERIA HG</t>
  </si>
  <si>
    <t>Avenida Primavera 2042</t>
  </si>
  <si>
    <t>Colonia Miguel De La Madrid</t>
  </si>
  <si>
    <t>871 333 0008</t>
  </si>
  <si>
    <t>10496627</t>
  </si>
  <si>
    <t>LAVANDERIA Y AUTOLAVADO EBEN EZER</t>
  </si>
  <si>
    <t>Lavado y lubricado de automóviles y camiones</t>
  </si>
  <si>
    <t>Calle Palma 209</t>
  </si>
  <si>
    <t>674 111 3613</t>
  </si>
  <si>
    <t>1074902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</si>
</sst>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b/>
      <sz val="16"/>
      <color rgb="FF1F4E5A"/>
      <name val="Arial"/>
    </font>
    <font>
      <i/>
      <sz val="10"/>
      <color rgb="FF5A6B70"/>
      <name val="Arial"/>
    </font>
    <font>
      <b/>
      <sz val="12"/>
      <color rgb="FF1F4E5A"/>
      <name val="Arial"/>
    </font>
    <font>
      <sz val="11"/>
      <name val="Arial"/>
    </font>
    <font>
      <b/>
      <sz val="11"/>
      <color rgb="FF1F4E5A"/>
      <name val="Arial"/>
    </font>
    <font>
      <sz val="10"/>
      <name val="Arial"/>
    </font>
    <font>
      <u/>
      <sz val="10"/>
      <color rgb="FF1F5FAF"/>
      <name val="Arial"/>
    </font>
    <font>
      <b/>
      <sz val="11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8EA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3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4" fillId="0" borderId="1" xfId="0" applyFont="1" applyBorder="1"/>
    <xf numFmtId="0" fontId="8" fillId="0" borderId="0" xfId="0" applyFont="1"/>
    <xf numFmtId="0" fontId="9" fillId="0" borderId="0" xfId="0" applyFont="1"/>
    <xf numFmtId="0" fontId="6" fillId="0" borderId="0" xfId="0" applyFont="1"/>
    <xf numFmtId="0" fontId="6" fillId="0" borderId="1" xfId="0" applyFont="1" applyBorder="1"/>
    <xf numFmtId="0" fontId="7" fillId="0" borderId="0" xfId="0" applyFont="1"/>
    <xf numFmtId="164" fontId="6" fillId="0" borderId="0" xfId="0" applyNumberFormat="1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24.04648735,-104.65239848" TargetMode="External"/><Relationship Id="rId299" Type="http://schemas.openxmlformats.org/officeDocument/2006/relationships/hyperlink" Target="https://www.google.com/maps/search/?api=1&amp;query=25.55858199,-103.42629083" TargetMode="External"/><Relationship Id="rId21" Type="http://schemas.openxmlformats.org/officeDocument/2006/relationships/hyperlink" Target="https://www.google.com/maps/search/?api=1&amp;query=24.02097197,-104.62715167" TargetMode="External"/><Relationship Id="rId63" Type="http://schemas.openxmlformats.org/officeDocument/2006/relationships/hyperlink" Target="https://www.google.com/maps/search/?api=1&amp;query=24.05844152,-104.60428486" TargetMode="External"/><Relationship Id="rId159" Type="http://schemas.openxmlformats.org/officeDocument/2006/relationships/hyperlink" Target="https://www.google.com/maps/search/?api=1&amp;query=25.59353688,-103.51364618" TargetMode="External"/><Relationship Id="rId324" Type="http://schemas.openxmlformats.org/officeDocument/2006/relationships/hyperlink" Target="https://www.google.com/maps/search/?api=1&amp;query=25.55907919,-103.39482315" TargetMode="External"/><Relationship Id="rId366" Type="http://schemas.openxmlformats.org/officeDocument/2006/relationships/hyperlink" Target="https://www.google.com/maps/search/?api=1&amp;query=24.44993864,-104.12462169" TargetMode="External"/><Relationship Id="rId170" Type="http://schemas.openxmlformats.org/officeDocument/2006/relationships/hyperlink" Target="https://www.google.com/maps/search/?api=1&amp;query=25.56316093,-103.50268459" TargetMode="External"/><Relationship Id="rId226" Type="http://schemas.openxmlformats.org/officeDocument/2006/relationships/hyperlink" Target="https://www.google.com/maps/search/?api=1&amp;query=25.53079645,-103.41519675" TargetMode="External"/><Relationship Id="rId268" Type="http://schemas.openxmlformats.org/officeDocument/2006/relationships/hyperlink" Target="https://www.google.com/maps/search/?api=1&amp;query=25.51720468,-103.4171363" TargetMode="External"/><Relationship Id="rId32" Type="http://schemas.openxmlformats.org/officeDocument/2006/relationships/hyperlink" Target="https://www.google.com/maps/search/?api=1&amp;query=24.01033808,-104.66982492" TargetMode="External"/><Relationship Id="rId74" Type="http://schemas.openxmlformats.org/officeDocument/2006/relationships/hyperlink" Target="https://www.google.com/maps/search/?api=1&amp;query=24.03939055,-104.61956341" TargetMode="External"/><Relationship Id="rId128" Type="http://schemas.openxmlformats.org/officeDocument/2006/relationships/hyperlink" Target="https://www.google.com/maps/search/?api=1&amp;query=24.00860173,-104.6658841" TargetMode="External"/><Relationship Id="rId335" Type="http://schemas.openxmlformats.org/officeDocument/2006/relationships/hyperlink" Target="https://www.google.com/maps/search/?api=1&amp;query=25.54028097,-103.45469677" TargetMode="External"/><Relationship Id="rId377" Type="http://schemas.openxmlformats.org/officeDocument/2006/relationships/hyperlink" Target="https://www.google.com/maps/search/?api=1&amp;query=23.84141092,-104.24740906" TargetMode="External"/><Relationship Id="rId5" Type="http://schemas.openxmlformats.org/officeDocument/2006/relationships/hyperlink" Target="https://www.google.com/maps/search/?api=1&amp;query=24.000495,-104.64061478" TargetMode="External"/><Relationship Id="rId181" Type="http://schemas.openxmlformats.org/officeDocument/2006/relationships/hyperlink" Target="https://www.google.com/maps/search/?api=1&amp;query=25.55252911,-103.46531396" TargetMode="External"/><Relationship Id="rId237" Type="http://schemas.openxmlformats.org/officeDocument/2006/relationships/hyperlink" Target="https://www.google.com/maps/search/?api=1&amp;query=25.54386714,-103.4463757" TargetMode="External"/><Relationship Id="rId402" Type="http://schemas.openxmlformats.org/officeDocument/2006/relationships/hyperlink" Target="https://www.google.com/maps/search/?api=1&amp;query=25.04592159,-105.43196447" TargetMode="External"/><Relationship Id="rId279" Type="http://schemas.openxmlformats.org/officeDocument/2006/relationships/hyperlink" Target="https://www.google.com/maps/search/?api=1&amp;query=25.54061059,-103.40411617" TargetMode="External"/><Relationship Id="rId43" Type="http://schemas.openxmlformats.org/officeDocument/2006/relationships/hyperlink" Target="https://www.google.com/maps/search/?api=1&amp;query=24.06046085,-104.58429747" TargetMode="External"/><Relationship Id="rId139" Type="http://schemas.openxmlformats.org/officeDocument/2006/relationships/hyperlink" Target="https://www.google.com/maps/search/?api=1&amp;query=24.02079162,-104.61475903" TargetMode="External"/><Relationship Id="rId290" Type="http://schemas.openxmlformats.org/officeDocument/2006/relationships/hyperlink" Target="https://www.google.com/maps/search/?api=1&amp;query=25.55546841,-103.36406347" TargetMode="External"/><Relationship Id="rId304" Type="http://schemas.openxmlformats.org/officeDocument/2006/relationships/hyperlink" Target="https://www.google.com/maps/search/?api=1&amp;query=25.59882233,-103.40274404" TargetMode="External"/><Relationship Id="rId346" Type="http://schemas.openxmlformats.org/officeDocument/2006/relationships/hyperlink" Target="https://www.google.com/maps/search/?api=1&amp;query=25.54519041,-103.44846421" TargetMode="External"/><Relationship Id="rId388" Type="http://schemas.openxmlformats.org/officeDocument/2006/relationships/hyperlink" Target="https://www.google.com/maps/search/?api=1&amp;query=23.97310657,-104.04571802" TargetMode="External"/><Relationship Id="rId85" Type="http://schemas.openxmlformats.org/officeDocument/2006/relationships/hyperlink" Target="https://www.google.com/maps/search/?api=1&amp;query=24.02534495,-104.65269207" TargetMode="External"/><Relationship Id="rId150" Type="http://schemas.openxmlformats.org/officeDocument/2006/relationships/hyperlink" Target="https://www.google.com/maps/search/?api=1&amp;query=24.03493184,-104.65304392" TargetMode="External"/><Relationship Id="rId192" Type="http://schemas.openxmlformats.org/officeDocument/2006/relationships/hyperlink" Target="https://www.google.com/maps/search/?api=1&amp;query=25.56910156,-103.49882213" TargetMode="External"/><Relationship Id="rId206" Type="http://schemas.openxmlformats.org/officeDocument/2006/relationships/hyperlink" Target="https://www.google.com/maps/search/?api=1&amp;query=25.55091143,-103.42683197" TargetMode="External"/><Relationship Id="rId413" Type="http://schemas.openxmlformats.org/officeDocument/2006/relationships/hyperlink" Target="https://www.google.com/maps/search/?api=1&amp;query=23.7331194,-103.98799839" TargetMode="External"/><Relationship Id="rId248" Type="http://schemas.openxmlformats.org/officeDocument/2006/relationships/hyperlink" Target="https://www.google.com/maps/search/?api=1&amp;query=25.57611619,-103.37890362" TargetMode="External"/><Relationship Id="rId12" Type="http://schemas.openxmlformats.org/officeDocument/2006/relationships/hyperlink" Target="https://www.google.com/maps/search/?api=1&amp;query=24.01044675,-104.69064634" TargetMode="External"/><Relationship Id="rId108" Type="http://schemas.openxmlformats.org/officeDocument/2006/relationships/hyperlink" Target="https://www.google.com/maps/search/?api=1&amp;query=24.02686232,-104.63094722" TargetMode="External"/><Relationship Id="rId315" Type="http://schemas.openxmlformats.org/officeDocument/2006/relationships/hyperlink" Target="https://www.google.com/maps/search/?api=1&amp;query=25.52509921,-103.41524104" TargetMode="External"/><Relationship Id="rId357" Type="http://schemas.openxmlformats.org/officeDocument/2006/relationships/hyperlink" Target="https://www.google.com/maps/search/?api=1&amp;query=24.52981007,-104.77816232" TargetMode="External"/><Relationship Id="rId54" Type="http://schemas.openxmlformats.org/officeDocument/2006/relationships/hyperlink" Target="https://www.google.com/maps/search/?api=1&amp;query=24.03223888,-104.63238859" TargetMode="External"/><Relationship Id="rId96" Type="http://schemas.openxmlformats.org/officeDocument/2006/relationships/hyperlink" Target="https://www.google.com/maps/search/?api=1&amp;query=24.00009153,-104.70048085" TargetMode="External"/><Relationship Id="rId161" Type="http://schemas.openxmlformats.org/officeDocument/2006/relationships/hyperlink" Target="https://www.google.com/maps/search/?api=1&amp;query=25.56755609,-103.50343335" TargetMode="External"/><Relationship Id="rId217" Type="http://schemas.openxmlformats.org/officeDocument/2006/relationships/hyperlink" Target="https://www.google.com/maps/search/?api=1&amp;query=25.54968043,-103.43688267" TargetMode="External"/><Relationship Id="rId399" Type="http://schemas.openxmlformats.org/officeDocument/2006/relationships/hyperlink" Target="https://www.google.com/maps/search/?api=1&amp;query=25.0400761,-105.42047248" TargetMode="External"/><Relationship Id="rId259" Type="http://schemas.openxmlformats.org/officeDocument/2006/relationships/hyperlink" Target="https://www.google.com/maps/search/?api=1&amp;query=25.54051966,-103.38873273" TargetMode="External"/><Relationship Id="rId23" Type="http://schemas.openxmlformats.org/officeDocument/2006/relationships/hyperlink" Target="https://www.google.com/maps/search/?api=1&amp;query=24.05684482,-104.58707387" TargetMode="External"/><Relationship Id="rId119" Type="http://schemas.openxmlformats.org/officeDocument/2006/relationships/hyperlink" Target="https://www.google.com/maps/search/?api=1&amp;query=24.02810812,-104.65936416" TargetMode="External"/><Relationship Id="rId270" Type="http://schemas.openxmlformats.org/officeDocument/2006/relationships/hyperlink" Target="https://www.google.com/maps/search/?api=1&amp;query=25.54657004,-103.43646228" TargetMode="External"/><Relationship Id="rId326" Type="http://schemas.openxmlformats.org/officeDocument/2006/relationships/hyperlink" Target="https://www.google.com/maps/search/?api=1&amp;query=25.55569116,-103.44202864" TargetMode="External"/><Relationship Id="rId65" Type="http://schemas.openxmlformats.org/officeDocument/2006/relationships/hyperlink" Target="https://www.google.com/maps/search/?api=1&amp;query=24.05355217,-104.59839943" TargetMode="External"/><Relationship Id="rId130" Type="http://schemas.openxmlformats.org/officeDocument/2006/relationships/hyperlink" Target="https://www.google.com/maps/search/?api=1&amp;query=24.03398105,-104.66433039" TargetMode="External"/><Relationship Id="rId368" Type="http://schemas.openxmlformats.org/officeDocument/2006/relationships/hyperlink" Target="https://www.google.com/maps/search/?api=1&amp;query=24.45084873,-104.11706588" TargetMode="External"/><Relationship Id="rId172" Type="http://schemas.openxmlformats.org/officeDocument/2006/relationships/hyperlink" Target="https://www.google.com/maps/search/?api=1&amp;query=25.58681412,-103.47699614" TargetMode="External"/><Relationship Id="rId228" Type="http://schemas.openxmlformats.org/officeDocument/2006/relationships/hyperlink" Target="https://www.google.com/maps/search/?api=1&amp;query=25.56102193,-103.43116837" TargetMode="External"/><Relationship Id="rId281" Type="http://schemas.openxmlformats.org/officeDocument/2006/relationships/hyperlink" Target="https://www.google.com/maps/search/?api=1&amp;query=25.51769331,-103.39925713" TargetMode="External"/><Relationship Id="rId337" Type="http://schemas.openxmlformats.org/officeDocument/2006/relationships/hyperlink" Target="https://www.google.com/maps/search/?api=1&amp;query=25.52152812,-103.40611662" TargetMode="External"/><Relationship Id="rId34" Type="http://schemas.openxmlformats.org/officeDocument/2006/relationships/hyperlink" Target="https://www.google.com/maps/search/?api=1&amp;query=24.04405003,-104.63569468" TargetMode="External"/><Relationship Id="rId76" Type="http://schemas.openxmlformats.org/officeDocument/2006/relationships/hyperlink" Target="https://www.google.com/maps/search/?api=1&amp;query=24.02994212,-104.65383523" TargetMode="External"/><Relationship Id="rId141" Type="http://schemas.openxmlformats.org/officeDocument/2006/relationships/hyperlink" Target="https://www.google.com/maps/search/?api=1&amp;query=24.01186709,-104.68370224" TargetMode="External"/><Relationship Id="rId379" Type="http://schemas.openxmlformats.org/officeDocument/2006/relationships/hyperlink" Target="https://www.google.com/maps/search/?api=1&amp;query=24.88731064,-105.07285067" TargetMode="External"/><Relationship Id="rId7" Type="http://schemas.openxmlformats.org/officeDocument/2006/relationships/hyperlink" Target="https://www.google.com/maps/search/?api=1&amp;query=24.0334981,-104.6397157" TargetMode="External"/><Relationship Id="rId183" Type="http://schemas.openxmlformats.org/officeDocument/2006/relationships/hyperlink" Target="https://www.google.com/maps/search/?api=1&amp;query=25.58486027,-103.49390819" TargetMode="External"/><Relationship Id="rId239" Type="http://schemas.openxmlformats.org/officeDocument/2006/relationships/hyperlink" Target="https://www.google.com/maps/search/?api=1&amp;query=25.56972819,-103.42196836" TargetMode="External"/><Relationship Id="rId390" Type="http://schemas.openxmlformats.org/officeDocument/2006/relationships/hyperlink" Target="https://www.google.com/maps/search/?api=1&amp;query=23.97466502,-104.05195194" TargetMode="External"/><Relationship Id="rId404" Type="http://schemas.openxmlformats.org/officeDocument/2006/relationships/hyperlink" Target="https://www.google.com/maps/search/?api=1&amp;query=25.04707325,-105.42255313" TargetMode="External"/><Relationship Id="rId250" Type="http://schemas.openxmlformats.org/officeDocument/2006/relationships/hyperlink" Target="https://www.google.com/maps/search/?api=1&amp;query=25.52187719,-103.3907677" TargetMode="External"/><Relationship Id="rId292" Type="http://schemas.openxmlformats.org/officeDocument/2006/relationships/hyperlink" Target="https://www.google.com/maps/search/?api=1&amp;query=25.57112785,-103.43157657" TargetMode="External"/><Relationship Id="rId306" Type="http://schemas.openxmlformats.org/officeDocument/2006/relationships/hyperlink" Target="https://www.google.com/maps/search/?api=1&amp;query=25.53963356,-103.32798606" TargetMode="External"/><Relationship Id="rId45" Type="http://schemas.openxmlformats.org/officeDocument/2006/relationships/hyperlink" Target="https://www.google.com/maps/search/?api=1&amp;query=24.03776923,-104.63628045" TargetMode="External"/><Relationship Id="rId87" Type="http://schemas.openxmlformats.org/officeDocument/2006/relationships/hyperlink" Target="https://www.google.com/maps/search/?api=1&amp;query=24.00591018,-104.65227589" TargetMode="External"/><Relationship Id="rId110" Type="http://schemas.openxmlformats.org/officeDocument/2006/relationships/hyperlink" Target="https://www.google.com/maps/search/?api=1&amp;query=24.00934386,-104.70371759" TargetMode="External"/><Relationship Id="rId348" Type="http://schemas.openxmlformats.org/officeDocument/2006/relationships/hyperlink" Target="https://www.google.com/maps/search/?api=1&amp;query=25.50779874,-103.38717571" TargetMode="External"/><Relationship Id="rId152" Type="http://schemas.openxmlformats.org/officeDocument/2006/relationships/hyperlink" Target="https://www.google.com/maps/search/?api=1&amp;query=24.04982576,-104.63380284" TargetMode="External"/><Relationship Id="rId194" Type="http://schemas.openxmlformats.org/officeDocument/2006/relationships/hyperlink" Target="https://www.google.com/maps/search/?api=1&amp;query=25.54755778,-103.55248003" TargetMode="External"/><Relationship Id="rId208" Type="http://schemas.openxmlformats.org/officeDocument/2006/relationships/hyperlink" Target="https://www.google.com/maps/search/?api=1&amp;query=25.57058725,-103.42091342" TargetMode="External"/><Relationship Id="rId415" Type="http://schemas.openxmlformats.org/officeDocument/2006/relationships/hyperlink" Target="https://www.google.com/maps/search/?api=1&amp;query=23.74041431,-103.98256813" TargetMode="External"/><Relationship Id="rId261" Type="http://schemas.openxmlformats.org/officeDocument/2006/relationships/hyperlink" Target="https://www.google.com/maps/search/?api=1&amp;query=25.51686263,-103.39038095" TargetMode="External"/><Relationship Id="rId14" Type="http://schemas.openxmlformats.org/officeDocument/2006/relationships/hyperlink" Target="https://www.google.com/maps/search/?api=1&amp;query=24.05475054,-104.59531992" TargetMode="External"/><Relationship Id="rId56" Type="http://schemas.openxmlformats.org/officeDocument/2006/relationships/hyperlink" Target="https://www.google.com/maps/search/?api=1&amp;query=24.06227793,-104.58513901" TargetMode="External"/><Relationship Id="rId317" Type="http://schemas.openxmlformats.org/officeDocument/2006/relationships/hyperlink" Target="https://www.google.com/maps/search/?api=1&amp;query=25.56208934,-103.42585153" TargetMode="External"/><Relationship Id="rId359" Type="http://schemas.openxmlformats.org/officeDocument/2006/relationships/hyperlink" Target="https://www.google.com/maps/search/?api=1&amp;query=24.86677146,-103.69281875" TargetMode="External"/><Relationship Id="rId98" Type="http://schemas.openxmlformats.org/officeDocument/2006/relationships/hyperlink" Target="https://www.google.com/maps/search/?api=1&amp;query=24.0050496,-104.64756106" TargetMode="External"/><Relationship Id="rId121" Type="http://schemas.openxmlformats.org/officeDocument/2006/relationships/hyperlink" Target="https://www.google.com/maps/search/?api=1&amp;query=24.05127896,-104.61922651" TargetMode="External"/><Relationship Id="rId163" Type="http://schemas.openxmlformats.org/officeDocument/2006/relationships/hyperlink" Target="https://www.google.com/maps/search/?api=1&amp;query=25.55320167,-103.4918192" TargetMode="External"/><Relationship Id="rId219" Type="http://schemas.openxmlformats.org/officeDocument/2006/relationships/hyperlink" Target="https://www.google.com/maps/search/?api=1&amp;query=25.52787166,-103.40023597" TargetMode="External"/><Relationship Id="rId370" Type="http://schemas.openxmlformats.org/officeDocument/2006/relationships/hyperlink" Target="https://www.google.com/maps/search/?api=1&amp;query=25.9324825,-105.956364" TargetMode="External"/><Relationship Id="rId230" Type="http://schemas.openxmlformats.org/officeDocument/2006/relationships/hyperlink" Target="https://www.google.com/maps/search/?api=1&amp;query=25.51868562,-103.39894064" TargetMode="External"/><Relationship Id="rId25" Type="http://schemas.openxmlformats.org/officeDocument/2006/relationships/hyperlink" Target="https://www.google.com/maps/search/?api=1&amp;query=24.032086,-104.6535385" TargetMode="External"/><Relationship Id="rId67" Type="http://schemas.openxmlformats.org/officeDocument/2006/relationships/hyperlink" Target="https://www.google.com/maps/search/?api=1&amp;query=24.06219197,-104.59547884" TargetMode="External"/><Relationship Id="rId272" Type="http://schemas.openxmlformats.org/officeDocument/2006/relationships/hyperlink" Target="https://www.google.com/maps/search/?api=1&amp;query=25.56494945,-103.4443759" TargetMode="External"/><Relationship Id="rId328" Type="http://schemas.openxmlformats.org/officeDocument/2006/relationships/hyperlink" Target="https://www.google.com/maps/search/?api=1&amp;query=25.56264585,-103.43114457" TargetMode="External"/><Relationship Id="rId132" Type="http://schemas.openxmlformats.org/officeDocument/2006/relationships/hyperlink" Target="https://www.google.com/maps/search/?api=1&amp;query=24.02712134,-104.62766073" TargetMode="External"/><Relationship Id="rId174" Type="http://schemas.openxmlformats.org/officeDocument/2006/relationships/hyperlink" Target="https://www.google.com/maps/search/?api=1&amp;query=25.56619053,-103.49936328" TargetMode="External"/><Relationship Id="rId381" Type="http://schemas.openxmlformats.org/officeDocument/2006/relationships/hyperlink" Target="https://www.google.com/maps/search/?api=1&amp;query=24.89048121,-105.06944217" TargetMode="External"/><Relationship Id="rId241" Type="http://schemas.openxmlformats.org/officeDocument/2006/relationships/hyperlink" Target="https://www.google.com/maps/search/?api=1&amp;query=25.53597318,-103.41853531" TargetMode="External"/><Relationship Id="rId36" Type="http://schemas.openxmlformats.org/officeDocument/2006/relationships/hyperlink" Target="https://www.google.com/maps/search/?api=1&amp;query=24.04237505,-104.68423847" TargetMode="External"/><Relationship Id="rId283" Type="http://schemas.openxmlformats.org/officeDocument/2006/relationships/hyperlink" Target="https://www.google.com/maps/search/?api=1&amp;query=25.55878535,-103.43083827" TargetMode="External"/><Relationship Id="rId339" Type="http://schemas.openxmlformats.org/officeDocument/2006/relationships/hyperlink" Target="https://www.google.com/maps/search/?api=1&amp;query=25.60232125,-103.40099214" TargetMode="External"/><Relationship Id="rId78" Type="http://schemas.openxmlformats.org/officeDocument/2006/relationships/hyperlink" Target="https://www.google.com/maps/search/?api=1&amp;query=24.00665685,-104.64430545" TargetMode="External"/><Relationship Id="rId101" Type="http://schemas.openxmlformats.org/officeDocument/2006/relationships/hyperlink" Target="https://www.google.com/maps/search/?api=1&amp;query=24.00018104,-104.66203702" TargetMode="External"/><Relationship Id="rId143" Type="http://schemas.openxmlformats.org/officeDocument/2006/relationships/hyperlink" Target="https://www.google.com/maps/search/?api=1&amp;query=24.0562016,-104.5980168" TargetMode="External"/><Relationship Id="rId185" Type="http://schemas.openxmlformats.org/officeDocument/2006/relationships/hyperlink" Target="https://www.google.com/maps/search/?api=1&amp;query=25.56113762,-103.50725744" TargetMode="External"/><Relationship Id="rId350" Type="http://schemas.openxmlformats.org/officeDocument/2006/relationships/hyperlink" Target="https://www.google.com/maps/search/?api=1&amp;query=25.61335165,-103.38988837" TargetMode="External"/><Relationship Id="rId406" Type="http://schemas.openxmlformats.org/officeDocument/2006/relationships/hyperlink" Target="https://www.google.com/maps/search/?api=1&amp;query=25.03042171,-105.42500475" TargetMode="External"/><Relationship Id="rId9" Type="http://schemas.openxmlformats.org/officeDocument/2006/relationships/hyperlink" Target="https://www.google.com/maps/search/?api=1&amp;query=24.09865529,-104.57596944" TargetMode="External"/><Relationship Id="rId210" Type="http://schemas.openxmlformats.org/officeDocument/2006/relationships/hyperlink" Target="https://www.google.com/maps/search/?api=1&amp;query=25.53966712,-103.43543233" TargetMode="External"/><Relationship Id="rId392" Type="http://schemas.openxmlformats.org/officeDocument/2006/relationships/hyperlink" Target="https://www.google.com/maps/search/?api=1&amp;query=23.78153593,-105.36067275" TargetMode="External"/><Relationship Id="rId252" Type="http://schemas.openxmlformats.org/officeDocument/2006/relationships/hyperlink" Target="https://www.google.com/maps/search/?api=1&amp;query=25.52778387,-103.39847777" TargetMode="External"/><Relationship Id="rId294" Type="http://schemas.openxmlformats.org/officeDocument/2006/relationships/hyperlink" Target="https://www.google.com/maps/search/?api=1&amp;query=25.56945327,-103.43257961" TargetMode="External"/><Relationship Id="rId308" Type="http://schemas.openxmlformats.org/officeDocument/2006/relationships/hyperlink" Target="https://www.google.com/maps/search/?api=1&amp;query=25.54649392,-103.35926278" TargetMode="External"/><Relationship Id="rId47" Type="http://schemas.openxmlformats.org/officeDocument/2006/relationships/hyperlink" Target="https://www.google.com/maps/search/?api=1&amp;query=24.03191638,-104.67515606" TargetMode="External"/><Relationship Id="rId89" Type="http://schemas.openxmlformats.org/officeDocument/2006/relationships/hyperlink" Target="https://www.google.com/maps/search/?api=1&amp;query=24.00408573,-104.6534711" TargetMode="External"/><Relationship Id="rId112" Type="http://schemas.openxmlformats.org/officeDocument/2006/relationships/hyperlink" Target="https://www.google.com/maps/search/?api=1&amp;query=24.04257226,-104.6865527" TargetMode="External"/><Relationship Id="rId154" Type="http://schemas.openxmlformats.org/officeDocument/2006/relationships/hyperlink" Target="https://www.google.com/maps/search/?api=1&amp;query=25.56558359,-103.4834815" TargetMode="External"/><Relationship Id="rId361" Type="http://schemas.openxmlformats.org/officeDocument/2006/relationships/hyperlink" Target="https://www.google.com/maps/search/?api=1&amp;query=24.86687538,-103.69914204" TargetMode="External"/><Relationship Id="rId196" Type="http://schemas.openxmlformats.org/officeDocument/2006/relationships/hyperlink" Target="https://www.google.com/maps/search/?api=1&amp;query=25.54752469,-103.51350933" TargetMode="External"/><Relationship Id="rId16" Type="http://schemas.openxmlformats.org/officeDocument/2006/relationships/hyperlink" Target="https://www.google.com/maps/search/?api=1&amp;query=24.0025175,-104.65352235" TargetMode="External"/><Relationship Id="rId221" Type="http://schemas.openxmlformats.org/officeDocument/2006/relationships/hyperlink" Target="https://www.google.com/maps/search/?api=1&amp;query=25.57259319,-103.365843" TargetMode="External"/><Relationship Id="rId263" Type="http://schemas.openxmlformats.org/officeDocument/2006/relationships/hyperlink" Target="https://www.google.com/maps/search/?api=1&amp;query=25.54222456,-103.35850507" TargetMode="External"/><Relationship Id="rId319" Type="http://schemas.openxmlformats.org/officeDocument/2006/relationships/hyperlink" Target="https://www.google.com/maps/search/?api=1&amp;query=25.52319036,-103.40241593" TargetMode="External"/><Relationship Id="rId58" Type="http://schemas.openxmlformats.org/officeDocument/2006/relationships/hyperlink" Target="https://www.google.com/maps/search/?api=1&amp;query=24.0505276,-104.62569746" TargetMode="External"/><Relationship Id="rId123" Type="http://schemas.openxmlformats.org/officeDocument/2006/relationships/hyperlink" Target="https://www.google.com/maps/search/?api=1&amp;query=24.00320842,-104.64374461" TargetMode="External"/><Relationship Id="rId330" Type="http://schemas.openxmlformats.org/officeDocument/2006/relationships/hyperlink" Target="https://www.google.com/maps/search/?api=1&amp;query=25.56714915,-103.38322356" TargetMode="External"/><Relationship Id="rId165" Type="http://schemas.openxmlformats.org/officeDocument/2006/relationships/hyperlink" Target="https://www.google.com/maps/search/?api=1&amp;query=25.59393579,-103.44680099" TargetMode="External"/><Relationship Id="rId372" Type="http://schemas.openxmlformats.org/officeDocument/2006/relationships/hyperlink" Target="https://www.google.com/maps/search/?api=1&amp;query=25.83353351,-103.84427327" TargetMode="External"/><Relationship Id="rId232" Type="http://schemas.openxmlformats.org/officeDocument/2006/relationships/hyperlink" Target="https://www.google.com/maps/search/?api=1&amp;query=25.53932187,-103.34844844" TargetMode="External"/><Relationship Id="rId274" Type="http://schemas.openxmlformats.org/officeDocument/2006/relationships/hyperlink" Target="https://www.google.com/maps/search/?api=1&amp;query=25.54156092,-103.43963423" TargetMode="External"/><Relationship Id="rId27" Type="http://schemas.openxmlformats.org/officeDocument/2006/relationships/hyperlink" Target="https://www.google.com/maps/search/?api=1&amp;query=24.00548836,-104.64406485" TargetMode="External"/><Relationship Id="rId69" Type="http://schemas.openxmlformats.org/officeDocument/2006/relationships/hyperlink" Target="https://www.google.com/maps/search/?api=1&amp;query=24.06309074,-104.60271746" TargetMode="External"/><Relationship Id="rId134" Type="http://schemas.openxmlformats.org/officeDocument/2006/relationships/hyperlink" Target="https://www.google.com/maps/search/?api=1&amp;query=24.04511861,-104.61507866" TargetMode="External"/><Relationship Id="rId80" Type="http://schemas.openxmlformats.org/officeDocument/2006/relationships/hyperlink" Target="https://www.google.com/maps/search/?api=1&amp;query=24.02357836,-104.70565233" TargetMode="External"/><Relationship Id="rId155" Type="http://schemas.openxmlformats.org/officeDocument/2006/relationships/hyperlink" Target="https://www.google.com/maps/search/?api=1&amp;query=25.59590573,-103.50700935" TargetMode="External"/><Relationship Id="rId176" Type="http://schemas.openxmlformats.org/officeDocument/2006/relationships/hyperlink" Target="https://www.google.com/maps/search/?api=1&amp;query=25.58508302,-103.49171585" TargetMode="External"/><Relationship Id="rId197" Type="http://schemas.openxmlformats.org/officeDocument/2006/relationships/hyperlink" Target="https://www.google.com/maps/search/?api=1&amp;query=25.54948899,-103.50255578" TargetMode="External"/><Relationship Id="rId341" Type="http://schemas.openxmlformats.org/officeDocument/2006/relationships/hyperlink" Target="https://www.google.com/maps/search/?api=1&amp;query=25.52693117,-103.41546101" TargetMode="External"/><Relationship Id="rId362" Type="http://schemas.openxmlformats.org/officeDocument/2006/relationships/hyperlink" Target="https://www.google.com/maps/search/?api=1&amp;query=25.9497091,-105.36536488" TargetMode="External"/><Relationship Id="rId383" Type="http://schemas.openxmlformats.org/officeDocument/2006/relationships/hyperlink" Target="https://www.google.com/maps/search/?api=1&amp;query=26.40004309,-105.39074592" TargetMode="External"/><Relationship Id="rId201" Type="http://schemas.openxmlformats.org/officeDocument/2006/relationships/hyperlink" Target="https://www.google.com/maps/search/?api=1&amp;query=25.5353395,-103.52584977" TargetMode="External"/><Relationship Id="rId222" Type="http://schemas.openxmlformats.org/officeDocument/2006/relationships/hyperlink" Target="https://www.google.com/maps/search/?api=1&amp;query=25.56863671,-103.44562046" TargetMode="External"/><Relationship Id="rId243" Type="http://schemas.openxmlformats.org/officeDocument/2006/relationships/hyperlink" Target="https://www.google.com/maps/search/?api=1&amp;query=25.53877038,-103.46710991" TargetMode="External"/><Relationship Id="rId264" Type="http://schemas.openxmlformats.org/officeDocument/2006/relationships/hyperlink" Target="https://www.google.com/maps/search/?api=1&amp;query=25.54214817,-103.42561055" TargetMode="External"/><Relationship Id="rId285" Type="http://schemas.openxmlformats.org/officeDocument/2006/relationships/hyperlink" Target="https://www.google.com/maps/search/?api=1&amp;query=25.56449043,-103.43930762" TargetMode="External"/><Relationship Id="rId17" Type="http://schemas.openxmlformats.org/officeDocument/2006/relationships/hyperlink" Target="https://www.google.com/maps/search/?api=1&amp;query=24.04500128,-104.61953057" TargetMode="External"/><Relationship Id="rId38" Type="http://schemas.openxmlformats.org/officeDocument/2006/relationships/hyperlink" Target="https://www.google.com/maps/search/?api=1&amp;query=24.04096054,-104.59921719" TargetMode="External"/><Relationship Id="rId59" Type="http://schemas.openxmlformats.org/officeDocument/2006/relationships/hyperlink" Target="https://www.google.com/maps/search/?api=1&amp;query=24.02983015,-104.66930239" TargetMode="External"/><Relationship Id="rId103" Type="http://schemas.openxmlformats.org/officeDocument/2006/relationships/hyperlink" Target="https://www.google.com/maps/search/?api=1&amp;query=24.04346966,-104.5997103" TargetMode="External"/><Relationship Id="rId124" Type="http://schemas.openxmlformats.org/officeDocument/2006/relationships/hyperlink" Target="https://www.google.com/maps/search/?api=1&amp;query=24.04308726,-104.65432295" TargetMode="External"/><Relationship Id="rId310" Type="http://schemas.openxmlformats.org/officeDocument/2006/relationships/hyperlink" Target="https://www.google.com/maps/search/?api=1&amp;query=25.54648902,-103.34241368" TargetMode="External"/><Relationship Id="rId70" Type="http://schemas.openxmlformats.org/officeDocument/2006/relationships/hyperlink" Target="https://www.google.com/maps/search/?api=1&amp;query=24.0371468,-104.68168409" TargetMode="External"/><Relationship Id="rId91" Type="http://schemas.openxmlformats.org/officeDocument/2006/relationships/hyperlink" Target="https://www.google.com/maps/search/?api=1&amp;query=24.06215762,-104.61714125" TargetMode="External"/><Relationship Id="rId145" Type="http://schemas.openxmlformats.org/officeDocument/2006/relationships/hyperlink" Target="https://www.google.com/maps/search/?api=1&amp;query=23.99664602,-104.63008516" TargetMode="External"/><Relationship Id="rId166" Type="http://schemas.openxmlformats.org/officeDocument/2006/relationships/hyperlink" Target="https://www.google.com/maps/search/?api=1&amp;query=25.57878118,-103.49710474" TargetMode="External"/><Relationship Id="rId187" Type="http://schemas.openxmlformats.org/officeDocument/2006/relationships/hyperlink" Target="https://www.google.com/maps/search/?api=1&amp;query=25.55440344,-103.49952406" TargetMode="External"/><Relationship Id="rId331" Type="http://schemas.openxmlformats.org/officeDocument/2006/relationships/hyperlink" Target="https://www.google.com/maps/search/?api=1&amp;query=25.51568756,-103.39127166" TargetMode="External"/><Relationship Id="rId352" Type="http://schemas.openxmlformats.org/officeDocument/2006/relationships/hyperlink" Target="https://www.google.com/maps/search/?api=1&amp;query=25.53382775,-103.25385292" TargetMode="External"/><Relationship Id="rId373" Type="http://schemas.openxmlformats.org/officeDocument/2006/relationships/hyperlink" Target="https://www.google.com/maps/search/?api=1&amp;query=23.47511811,-104.39503511" TargetMode="External"/><Relationship Id="rId394" Type="http://schemas.openxmlformats.org/officeDocument/2006/relationships/hyperlink" Target="https://www.google.com/maps/search/?api=1&amp;query=25.17835075,-104.55945109" TargetMode="External"/><Relationship Id="rId408" Type="http://schemas.openxmlformats.org/officeDocument/2006/relationships/hyperlink" Target="https://www.google.com/maps/search/?api=1&amp;query=25.04394028,-105.41802778" TargetMode="External"/><Relationship Id="rId1" Type="http://schemas.openxmlformats.org/officeDocument/2006/relationships/hyperlink" Target="https://www.google.com/maps/search/?api=1&amp;query=24.00315709,-104.63794414" TargetMode="External"/><Relationship Id="rId212" Type="http://schemas.openxmlformats.org/officeDocument/2006/relationships/hyperlink" Target="https://www.google.com/maps/search/?api=1&amp;query=25.56911221,-103.43524196" TargetMode="External"/><Relationship Id="rId233" Type="http://schemas.openxmlformats.org/officeDocument/2006/relationships/hyperlink" Target="https://www.google.com/maps/search/?api=1&amp;query=25.56948916,-103.43839128" TargetMode="External"/><Relationship Id="rId254" Type="http://schemas.openxmlformats.org/officeDocument/2006/relationships/hyperlink" Target="https://www.google.com/maps/search/?api=1&amp;query=25.53977607,-103.35155422" TargetMode="External"/><Relationship Id="rId28" Type="http://schemas.openxmlformats.org/officeDocument/2006/relationships/hyperlink" Target="https://www.google.com/maps/search/?api=1&amp;query=24.03254933,-104.67902581" TargetMode="External"/><Relationship Id="rId49" Type="http://schemas.openxmlformats.org/officeDocument/2006/relationships/hyperlink" Target="https://www.google.com/maps/search/?api=1&amp;query=24.0646653,-104.62124264" TargetMode="External"/><Relationship Id="rId114" Type="http://schemas.openxmlformats.org/officeDocument/2006/relationships/hyperlink" Target="https://www.google.com/maps/search/?api=1&amp;query=24.0453024,-104.63172899" TargetMode="External"/><Relationship Id="rId275" Type="http://schemas.openxmlformats.org/officeDocument/2006/relationships/hyperlink" Target="https://www.google.com/maps/search/?api=1&amp;query=25.53974967,-103.45910619" TargetMode="External"/><Relationship Id="rId296" Type="http://schemas.openxmlformats.org/officeDocument/2006/relationships/hyperlink" Target="https://www.google.com/maps/search/?api=1&amp;query=25.52135017,-103.39409876" TargetMode="External"/><Relationship Id="rId300" Type="http://schemas.openxmlformats.org/officeDocument/2006/relationships/hyperlink" Target="https://www.google.com/maps/search/?api=1&amp;query=25.55746517,-103.43682261" TargetMode="External"/><Relationship Id="rId60" Type="http://schemas.openxmlformats.org/officeDocument/2006/relationships/hyperlink" Target="https://www.google.com/maps/search/?api=1&amp;query=24.0139637,-104.67531674" TargetMode="External"/><Relationship Id="rId81" Type="http://schemas.openxmlformats.org/officeDocument/2006/relationships/hyperlink" Target="https://www.google.com/maps/search/?api=1&amp;query=24.02883978,-104.66555971" TargetMode="External"/><Relationship Id="rId135" Type="http://schemas.openxmlformats.org/officeDocument/2006/relationships/hyperlink" Target="https://www.google.com/maps/search/?api=1&amp;query=24.01388297,-104.67925955" TargetMode="External"/><Relationship Id="rId156" Type="http://schemas.openxmlformats.org/officeDocument/2006/relationships/hyperlink" Target="https://www.google.com/maps/search/?api=1&amp;query=25.56426183,-103.50929926" TargetMode="External"/><Relationship Id="rId177" Type="http://schemas.openxmlformats.org/officeDocument/2006/relationships/hyperlink" Target="https://www.google.com/maps/search/?api=1&amp;query=25.59648132,-103.49429044" TargetMode="External"/><Relationship Id="rId198" Type="http://schemas.openxmlformats.org/officeDocument/2006/relationships/hyperlink" Target="https://www.google.com/maps/search/?api=1&amp;query=25.54425791,-103.5278037" TargetMode="External"/><Relationship Id="rId321" Type="http://schemas.openxmlformats.org/officeDocument/2006/relationships/hyperlink" Target="https://www.google.com/maps/search/?api=1&amp;query=25.51381552,-103.40200056" TargetMode="External"/><Relationship Id="rId342" Type="http://schemas.openxmlformats.org/officeDocument/2006/relationships/hyperlink" Target="https://www.google.com/maps/search/?api=1&amp;query=25.55846826,-103.4361529" TargetMode="External"/><Relationship Id="rId363" Type="http://schemas.openxmlformats.org/officeDocument/2006/relationships/hyperlink" Target="https://www.google.com/maps/search/?api=1&amp;query=25.9563243,-105.36155644" TargetMode="External"/><Relationship Id="rId384" Type="http://schemas.openxmlformats.org/officeDocument/2006/relationships/hyperlink" Target="https://www.google.com/maps/search/?api=1&amp;query=26.40191838,-105.39422503" TargetMode="External"/><Relationship Id="rId202" Type="http://schemas.openxmlformats.org/officeDocument/2006/relationships/hyperlink" Target="https://www.google.com/maps/search/?api=1&amp;query=25.55219308,-103.51049808" TargetMode="External"/><Relationship Id="rId223" Type="http://schemas.openxmlformats.org/officeDocument/2006/relationships/hyperlink" Target="https://www.google.com/maps/search/?api=1&amp;query=25.51653348,-103.38776091" TargetMode="External"/><Relationship Id="rId244" Type="http://schemas.openxmlformats.org/officeDocument/2006/relationships/hyperlink" Target="https://www.google.com/maps/search/?api=1&amp;query=25.54068927,-103.38526948" TargetMode="External"/><Relationship Id="rId18" Type="http://schemas.openxmlformats.org/officeDocument/2006/relationships/hyperlink" Target="https://www.google.com/maps/search/?api=1&amp;query=24.05840369,-104.61961544" TargetMode="External"/><Relationship Id="rId39" Type="http://schemas.openxmlformats.org/officeDocument/2006/relationships/hyperlink" Target="https://www.google.com/maps/search/?api=1&amp;query=23.99798583,-104.64248581" TargetMode="External"/><Relationship Id="rId265" Type="http://schemas.openxmlformats.org/officeDocument/2006/relationships/hyperlink" Target="https://www.google.com/maps/search/?api=1&amp;query=25.51169979,-103.41665835" TargetMode="External"/><Relationship Id="rId286" Type="http://schemas.openxmlformats.org/officeDocument/2006/relationships/hyperlink" Target="https://www.google.com/maps/search/?api=1&amp;query=25.51932515,-103.39626197" TargetMode="External"/><Relationship Id="rId50" Type="http://schemas.openxmlformats.org/officeDocument/2006/relationships/hyperlink" Target="https://www.google.com/maps/search/?api=1&amp;query=24.00932001,-104.70452725" TargetMode="External"/><Relationship Id="rId104" Type="http://schemas.openxmlformats.org/officeDocument/2006/relationships/hyperlink" Target="https://www.google.com/maps/search/?api=1&amp;query=24.00840593,-104.67628437" TargetMode="External"/><Relationship Id="rId125" Type="http://schemas.openxmlformats.org/officeDocument/2006/relationships/hyperlink" Target="https://www.google.com/maps/search/?api=1&amp;query=24.0547496,-104.62138404" TargetMode="External"/><Relationship Id="rId146" Type="http://schemas.openxmlformats.org/officeDocument/2006/relationships/hyperlink" Target="https://www.google.com/maps/search/?api=1&amp;query=24.03109429,-104.66007149" TargetMode="External"/><Relationship Id="rId167" Type="http://schemas.openxmlformats.org/officeDocument/2006/relationships/hyperlink" Target="https://www.google.com/maps/search/?api=1&amp;query=25.59535045,-103.48139132" TargetMode="External"/><Relationship Id="rId188" Type="http://schemas.openxmlformats.org/officeDocument/2006/relationships/hyperlink" Target="https://www.google.com/maps/search/?api=1&amp;query=25.57374805,-103.50721915" TargetMode="External"/><Relationship Id="rId311" Type="http://schemas.openxmlformats.org/officeDocument/2006/relationships/hyperlink" Target="https://www.google.com/maps/search/?api=1&amp;query=25.54856677,-103.43433803" TargetMode="External"/><Relationship Id="rId332" Type="http://schemas.openxmlformats.org/officeDocument/2006/relationships/hyperlink" Target="https://www.google.com/maps/search/?api=1&amp;query=25.54683891,-103.43697134" TargetMode="External"/><Relationship Id="rId353" Type="http://schemas.openxmlformats.org/officeDocument/2006/relationships/hyperlink" Target="https://www.google.com/maps/search/?api=1&amp;query=25.53555072,-103.23860772" TargetMode="External"/><Relationship Id="rId374" Type="http://schemas.openxmlformats.org/officeDocument/2006/relationships/hyperlink" Target="https://www.google.com/maps/search/?api=1&amp;query=23.47205101,-104.39716285" TargetMode="External"/><Relationship Id="rId395" Type="http://schemas.openxmlformats.org/officeDocument/2006/relationships/hyperlink" Target="https://www.google.com/maps/search/?api=1&amp;query=25.16228353,-104.5519505" TargetMode="External"/><Relationship Id="rId409" Type="http://schemas.openxmlformats.org/officeDocument/2006/relationships/hyperlink" Target="https://www.google.com/maps/search/?api=1&amp;query=24.96785369,-106.96577587" TargetMode="External"/><Relationship Id="rId71" Type="http://schemas.openxmlformats.org/officeDocument/2006/relationships/hyperlink" Target="https://www.google.com/maps/search/?api=1&amp;query=24.05597932,-104.59721015" TargetMode="External"/><Relationship Id="rId92" Type="http://schemas.openxmlformats.org/officeDocument/2006/relationships/hyperlink" Target="https://www.google.com/maps/search/?api=1&amp;query=24.03147316,-104.66609432" TargetMode="External"/><Relationship Id="rId213" Type="http://schemas.openxmlformats.org/officeDocument/2006/relationships/hyperlink" Target="https://www.google.com/maps/search/?api=1&amp;query=25.61451742,-103.3901866" TargetMode="External"/><Relationship Id="rId234" Type="http://schemas.openxmlformats.org/officeDocument/2006/relationships/hyperlink" Target="https://www.google.com/maps/search/?api=1&amp;query=25.56046961,-103.42193189" TargetMode="External"/><Relationship Id="rId2" Type="http://schemas.openxmlformats.org/officeDocument/2006/relationships/hyperlink" Target="https://www.google.com/maps/search/?api=1&amp;query=23.99639426,-104.66901784" TargetMode="External"/><Relationship Id="rId29" Type="http://schemas.openxmlformats.org/officeDocument/2006/relationships/hyperlink" Target="https://www.google.com/maps/search/?api=1&amp;query=24.07003496,-104.58934282" TargetMode="External"/><Relationship Id="rId255" Type="http://schemas.openxmlformats.org/officeDocument/2006/relationships/hyperlink" Target="https://www.google.com/maps/search/?api=1&amp;query=25.51540123,-103.41387775" TargetMode="External"/><Relationship Id="rId276" Type="http://schemas.openxmlformats.org/officeDocument/2006/relationships/hyperlink" Target="https://www.google.com/maps/search/?api=1&amp;query=25.56710122,-103.43976099" TargetMode="External"/><Relationship Id="rId297" Type="http://schemas.openxmlformats.org/officeDocument/2006/relationships/hyperlink" Target="https://www.google.com/maps/search/?api=1&amp;query=25.52190952,-103.3935374" TargetMode="External"/><Relationship Id="rId40" Type="http://schemas.openxmlformats.org/officeDocument/2006/relationships/hyperlink" Target="https://www.google.com/maps/search/?api=1&amp;query=24.04365135,-104.68075304" TargetMode="External"/><Relationship Id="rId115" Type="http://schemas.openxmlformats.org/officeDocument/2006/relationships/hyperlink" Target="https://www.google.com/maps/search/?api=1&amp;query=24.01567547,-104.59433037" TargetMode="External"/><Relationship Id="rId136" Type="http://schemas.openxmlformats.org/officeDocument/2006/relationships/hyperlink" Target="https://www.google.com/maps/search/?api=1&amp;query=24.02529282,-104.6495199" TargetMode="External"/><Relationship Id="rId157" Type="http://schemas.openxmlformats.org/officeDocument/2006/relationships/hyperlink" Target="https://www.google.com/maps/search/?api=1&amp;query=25.59653612,-103.4978465" TargetMode="External"/><Relationship Id="rId178" Type="http://schemas.openxmlformats.org/officeDocument/2006/relationships/hyperlink" Target="https://www.google.com/maps/search/?api=1&amp;query=25.56092678,-103.50580745" TargetMode="External"/><Relationship Id="rId301" Type="http://schemas.openxmlformats.org/officeDocument/2006/relationships/hyperlink" Target="https://www.google.com/maps/search/?api=1&amp;query=25.57526184,-103.37709407" TargetMode="External"/><Relationship Id="rId322" Type="http://schemas.openxmlformats.org/officeDocument/2006/relationships/hyperlink" Target="https://www.google.com/maps/search/?api=1&amp;query=25.5131242,-103.40983434" TargetMode="External"/><Relationship Id="rId343" Type="http://schemas.openxmlformats.org/officeDocument/2006/relationships/hyperlink" Target="https://www.google.com/maps/search/?api=1&amp;query=25.61745218,-103.39214305" TargetMode="External"/><Relationship Id="rId364" Type="http://schemas.openxmlformats.org/officeDocument/2006/relationships/hyperlink" Target="https://www.google.com/maps/search/?api=1&amp;query=24.44770742,-104.12537222" TargetMode="External"/><Relationship Id="rId61" Type="http://schemas.openxmlformats.org/officeDocument/2006/relationships/hyperlink" Target="https://www.google.com/maps/search/?api=1&amp;query=24.01059112,-104.67523744" TargetMode="External"/><Relationship Id="rId82" Type="http://schemas.openxmlformats.org/officeDocument/2006/relationships/hyperlink" Target="https://www.google.com/maps/search/?api=1&amp;query=24.01082436,-104.62824609" TargetMode="External"/><Relationship Id="rId199" Type="http://schemas.openxmlformats.org/officeDocument/2006/relationships/hyperlink" Target="https://www.google.com/maps/search/?api=1&amp;query=25.4964587,-103.5945434" TargetMode="External"/><Relationship Id="rId203" Type="http://schemas.openxmlformats.org/officeDocument/2006/relationships/hyperlink" Target="https://www.google.com/maps/search/?api=1&amp;query=25.54759879,-103.5320818" TargetMode="External"/><Relationship Id="rId385" Type="http://schemas.openxmlformats.org/officeDocument/2006/relationships/hyperlink" Target="https://www.google.com/maps/search/?api=1&amp;query=24.40182102,-104.31748683" TargetMode="External"/><Relationship Id="rId19" Type="http://schemas.openxmlformats.org/officeDocument/2006/relationships/hyperlink" Target="https://www.google.com/maps/search/?api=1&amp;query=24.04417693,-104.68958159" TargetMode="External"/><Relationship Id="rId224" Type="http://schemas.openxmlformats.org/officeDocument/2006/relationships/hyperlink" Target="https://www.google.com/maps/search/?api=1&amp;query=25.59502201,-103.40456006" TargetMode="External"/><Relationship Id="rId245" Type="http://schemas.openxmlformats.org/officeDocument/2006/relationships/hyperlink" Target="https://www.google.com/maps/search/?api=1&amp;query=25.54587878,-103.32634483" TargetMode="External"/><Relationship Id="rId266" Type="http://schemas.openxmlformats.org/officeDocument/2006/relationships/hyperlink" Target="https://www.google.com/maps/search/?api=1&amp;query=25.61442738,-103.38638827" TargetMode="External"/><Relationship Id="rId287" Type="http://schemas.openxmlformats.org/officeDocument/2006/relationships/hyperlink" Target="https://www.google.com/maps/search/?api=1&amp;query=25.53894219,-103.4162351" TargetMode="External"/><Relationship Id="rId410" Type="http://schemas.openxmlformats.org/officeDocument/2006/relationships/hyperlink" Target="https://www.google.com/maps/search/?api=1&amp;query=25.33456018,-105.72080479" TargetMode="External"/><Relationship Id="rId30" Type="http://schemas.openxmlformats.org/officeDocument/2006/relationships/hyperlink" Target="https://www.google.com/maps/search/?api=1&amp;query=24.02004705,-104.64114054" TargetMode="External"/><Relationship Id="rId105" Type="http://schemas.openxmlformats.org/officeDocument/2006/relationships/hyperlink" Target="https://www.google.com/maps/search/?api=1&amp;query=24.02452596,-104.65389718" TargetMode="External"/><Relationship Id="rId126" Type="http://schemas.openxmlformats.org/officeDocument/2006/relationships/hyperlink" Target="https://www.google.com/maps/search/?api=1&amp;query=24.04121285,-104.63307581" TargetMode="External"/><Relationship Id="rId147" Type="http://schemas.openxmlformats.org/officeDocument/2006/relationships/hyperlink" Target="https://www.google.com/maps/search/?api=1&amp;query=24.02371177,-104.65742474" TargetMode="External"/><Relationship Id="rId168" Type="http://schemas.openxmlformats.org/officeDocument/2006/relationships/hyperlink" Target="https://www.google.com/maps/search/?api=1&amp;query=25.58350089,-103.51408894" TargetMode="External"/><Relationship Id="rId312" Type="http://schemas.openxmlformats.org/officeDocument/2006/relationships/hyperlink" Target="https://www.google.com/maps/search/?api=1&amp;query=25.53676308,-103.44551662" TargetMode="External"/><Relationship Id="rId333" Type="http://schemas.openxmlformats.org/officeDocument/2006/relationships/hyperlink" Target="https://www.google.com/maps/search/?api=1&amp;query=25.5354442,-103.41797848" TargetMode="External"/><Relationship Id="rId354" Type="http://schemas.openxmlformats.org/officeDocument/2006/relationships/hyperlink" Target="https://www.google.com/maps/search/?api=1&amp;query=24.52012451,-104.77718125" TargetMode="External"/><Relationship Id="rId51" Type="http://schemas.openxmlformats.org/officeDocument/2006/relationships/hyperlink" Target="https://www.google.com/maps/search/?api=1&amp;query=24.00356999,-104.65010985" TargetMode="External"/><Relationship Id="rId72" Type="http://schemas.openxmlformats.org/officeDocument/2006/relationships/hyperlink" Target="https://www.google.com/maps/search/?api=1&amp;query=24.04011694,-104.6844488" TargetMode="External"/><Relationship Id="rId93" Type="http://schemas.openxmlformats.org/officeDocument/2006/relationships/hyperlink" Target="https://www.google.com/maps/search/?api=1&amp;query=24.0233368,-104.64798422" TargetMode="External"/><Relationship Id="rId189" Type="http://schemas.openxmlformats.org/officeDocument/2006/relationships/hyperlink" Target="https://www.google.com/maps/search/?api=1&amp;query=25.55555775,-103.50402759" TargetMode="External"/><Relationship Id="rId375" Type="http://schemas.openxmlformats.org/officeDocument/2006/relationships/hyperlink" Target="https://www.google.com/maps/search/?api=1&amp;query=25.22294506,-104.1119597" TargetMode="External"/><Relationship Id="rId396" Type="http://schemas.openxmlformats.org/officeDocument/2006/relationships/hyperlink" Target="https://www.google.com/maps/search/?api=1&amp;query=25.18824145,-104.56363203" TargetMode="External"/><Relationship Id="rId3" Type="http://schemas.openxmlformats.org/officeDocument/2006/relationships/hyperlink" Target="https://www.google.com/maps/search/?api=1&amp;query=24.00677066,-104.65478468" TargetMode="External"/><Relationship Id="rId214" Type="http://schemas.openxmlformats.org/officeDocument/2006/relationships/hyperlink" Target="https://www.google.com/maps/search/?api=1&amp;query=25.52689335,-103.41546139" TargetMode="External"/><Relationship Id="rId235" Type="http://schemas.openxmlformats.org/officeDocument/2006/relationships/hyperlink" Target="https://www.google.com/maps/search/?api=1&amp;query=25.54696944,-103.34127997" TargetMode="External"/><Relationship Id="rId256" Type="http://schemas.openxmlformats.org/officeDocument/2006/relationships/hyperlink" Target="https://www.google.com/maps/search/?api=1&amp;query=25.54893124,-103.35498627" TargetMode="External"/><Relationship Id="rId277" Type="http://schemas.openxmlformats.org/officeDocument/2006/relationships/hyperlink" Target="https://www.google.com/maps/search/?api=1&amp;query=25.54562863,-103.3760021" TargetMode="External"/><Relationship Id="rId298" Type="http://schemas.openxmlformats.org/officeDocument/2006/relationships/hyperlink" Target="https://www.google.com/maps/search/?api=1&amp;query=25.55803333,-103.38701427" TargetMode="External"/><Relationship Id="rId400" Type="http://schemas.openxmlformats.org/officeDocument/2006/relationships/hyperlink" Target="https://www.google.com/maps/search/?api=1&amp;query=25.04655829,-105.41868831" TargetMode="External"/><Relationship Id="rId116" Type="http://schemas.openxmlformats.org/officeDocument/2006/relationships/hyperlink" Target="https://www.google.com/maps/search/?api=1&amp;query=24.03895544,-104.66798499" TargetMode="External"/><Relationship Id="rId137" Type="http://schemas.openxmlformats.org/officeDocument/2006/relationships/hyperlink" Target="https://www.google.com/maps/search/?api=1&amp;query=23.99769988,-104.6491946" TargetMode="External"/><Relationship Id="rId158" Type="http://schemas.openxmlformats.org/officeDocument/2006/relationships/hyperlink" Target="https://www.google.com/maps/search/?api=1&amp;query=25.55997994,-103.49246837" TargetMode="External"/><Relationship Id="rId302" Type="http://schemas.openxmlformats.org/officeDocument/2006/relationships/hyperlink" Target="https://www.google.com/maps/search/?api=1&amp;query=25.54544008,-103.46076833" TargetMode="External"/><Relationship Id="rId323" Type="http://schemas.openxmlformats.org/officeDocument/2006/relationships/hyperlink" Target="https://www.google.com/maps/search/?api=1&amp;query=25.51609162,-103.42157455" TargetMode="External"/><Relationship Id="rId344" Type="http://schemas.openxmlformats.org/officeDocument/2006/relationships/hyperlink" Target="https://www.google.com/maps/search/?api=1&amp;query=25.5791206,-103.40429431" TargetMode="External"/><Relationship Id="rId20" Type="http://schemas.openxmlformats.org/officeDocument/2006/relationships/hyperlink" Target="https://www.google.com/maps/search/?api=1&amp;query=24.04930511,-104.64846086" TargetMode="External"/><Relationship Id="rId41" Type="http://schemas.openxmlformats.org/officeDocument/2006/relationships/hyperlink" Target="https://www.google.com/maps/search/?api=1&amp;query=24.00092803,-104.65186396" TargetMode="External"/><Relationship Id="rId62" Type="http://schemas.openxmlformats.org/officeDocument/2006/relationships/hyperlink" Target="https://www.google.com/maps/search/?api=1&amp;query=24.00944862,-104.66380368" TargetMode="External"/><Relationship Id="rId83" Type="http://schemas.openxmlformats.org/officeDocument/2006/relationships/hyperlink" Target="https://www.google.com/maps/search/?api=1&amp;query=24.03000618,-104.6482369" TargetMode="External"/><Relationship Id="rId179" Type="http://schemas.openxmlformats.org/officeDocument/2006/relationships/hyperlink" Target="https://www.google.com/maps/search/?api=1&amp;query=25.5781231,-103.47053184" TargetMode="External"/><Relationship Id="rId365" Type="http://schemas.openxmlformats.org/officeDocument/2006/relationships/hyperlink" Target="https://www.google.com/maps/search/?api=1&amp;query=24.44392432,-104.11896418" TargetMode="External"/><Relationship Id="rId386" Type="http://schemas.openxmlformats.org/officeDocument/2006/relationships/hyperlink" Target="https://www.google.com/maps/search/?api=1&amp;query=24.4028574,-104.32036862" TargetMode="External"/><Relationship Id="rId190" Type="http://schemas.openxmlformats.org/officeDocument/2006/relationships/hyperlink" Target="https://www.google.com/maps/search/?api=1&amp;query=25.5593998,-103.4976415" TargetMode="External"/><Relationship Id="rId204" Type="http://schemas.openxmlformats.org/officeDocument/2006/relationships/hyperlink" Target="https://www.google.com/maps/search/?api=1&amp;query=25.52046953,-103.52860541" TargetMode="External"/><Relationship Id="rId225" Type="http://schemas.openxmlformats.org/officeDocument/2006/relationships/hyperlink" Target="https://www.google.com/maps/search/?api=1&amp;query=25.57518539,-103.37565254" TargetMode="External"/><Relationship Id="rId246" Type="http://schemas.openxmlformats.org/officeDocument/2006/relationships/hyperlink" Target="https://www.google.com/maps/search/?api=1&amp;query=25.54026199,-103.42594999" TargetMode="External"/><Relationship Id="rId267" Type="http://schemas.openxmlformats.org/officeDocument/2006/relationships/hyperlink" Target="https://www.google.com/maps/search/?api=1&amp;query=25.51612017,-103.39155618" TargetMode="External"/><Relationship Id="rId288" Type="http://schemas.openxmlformats.org/officeDocument/2006/relationships/hyperlink" Target="https://www.google.com/maps/search/?api=1&amp;query=25.54292228,-103.35810596" TargetMode="External"/><Relationship Id="rId411" Type="http://schemas.openxmlformats.org/officeDocument/2006/relationships/hyperlink" Target="https://www.google.com/maps/search/?api=1&amp;query=25.34402331,-105.72321724" TargetMode="External"/><Relationship Id="rId106" Type="http://schemas.openxmlformats.org/officeDocument/2006/relationships/hyperlink" Target="https://www.google.com/maps/search/?api=1&amp;query=24.00751374,-104.6685814" TargetMode="External"/><Relationship Id="rId127" Type="http://schemas.openxmlformats.org/officeDocument/2006/relationships/hyperlink" Target="https://www.google.com/maps/search/?api=1&amp;query=24.02912434,-104.65442151" TargetMode="External"/><Relationship Id="rId313" Type="http://schemas.openxmlformats.org/officeDocument/2006/relationships/hyperlink" Target="https://www.google.com/maps/search/?api=1&amp;query=25.50525232,-103.35611876" TargetMode="External"/><Relationship Id="rId10" Type="http://schemas.openxmlformats.org/officeDocument/2006/relationships/hyperlink" Target="https://www.google.com/maps/search/?api=1&amp;query=24.00614424,-104.6574159" TargetMode="External"/><Relationship Id="rId31" Type="http://schemas.openxmlformats.org/officeDocument/2006/relationships/hyperlink" Target="https://www.google.com/maps/search/?api=1&amp;query=24.05830253,-104.58783431" TargetMode="External"/><Relationship Id="rId52" Type="http://schemas.openxmlformats.org/officeDocument/2006/relationships/hyperlink" Target="https://www.google.com/maps/search/?api=1&amp;query=23.9932369,-104.66296277" TargetMode="External"/><Relationship Id="rId73" Type="http://schemas.openxmlformats.org/officeDocument/2006/relationships/hyperlink" Target="https://www.google.com/maps/search/?api=1&amp;query=24.01079691,-104.63247888" TargetMode="External"/><Relationship Id="rId94" Type="http://schemas.openxmlformats.org/officeDocument/2006/relationships/hyperlink" Target="https://www.google.com/maps/search/?api=1&amp;query=24.01977177,-104.63276541" TargetMode="External"/><Relationship Id="rId148" Type="http://schemas.openxmlformats.org/officeDocument/2006/relationships/hyperlink" Target="https://www.google.com/maps/search/?api=1&amp;query=24.05705349,-104.61203229" TargetMode="External"/><Relationship Id="rId169" Type="http://schemas.openxmlformats.org/officeDocument/2006/relationships/hyperlink" Target="https://www.google.com/maps/search/?api=1&amp;query=25.59445399,-103.49738316" TargetMode="External"/><Relationship Id="rId334" Type="http://schemas.openxmlformats.org/officeDocument/2006/relationships/hyperlink" Target="https://www.google.com/maps/search/?api=1&amp;query=25.54488881,-103.42827045" TargetMode="External"/><Relationship Id="rId355" Type="http://schemas.openxmlformats.org/officeDocument/2006/relationships/hyperlink" Target="https://www.google.com/maps/search/?api=1&amp;query=24.52653758,-104.77486556" TargetMode="External"/><Relationship Id="rId376" Type="http://schemas.openxmlformats.org/officeDocument/2006/relationships/hyperlink" Target="https://www.google.com/maps/search/?api=1&amp;query=23.84496919,-104.24228047" TargetMode="External"/><Relationship Id="rId397" Type="http://schemas.openxmlformats.org/officeDocument/2006/relationships/hyperlink" Target="https://www.google.com/maps/search/?api=1&amp;query=24.10462693,-105.93043856" TargetMode="External"/><Relationship Id="rId4" Type="http://schemas.openxmlformats.org/officeDocument/2006/relationships/hyperlink" Target="https://www.google.com/maps/search/?api=1&amp;query=24.02644679,-104.64928561" TargetMode="External"/><Relationship Id="rId180" Type="http://schemas.openxmlformats.org/officeDocument/2006/relationships/hyperlink" Target="https://www.google.com/maps/search/?api=1&amp;query=25.56781991,-103.46732279" TargetMode="External"/><Relationship Id="rId215" Type="http://schemas.openxmlformats.org/officeDocument/2006/relationships/hyperlink" Target="https://www.google.com/maps/search/?api=1&amp;query=25.53824084,-103.44198562" TargetMode="External"/><Relationship Id="rId236" Type="http://schemas.openxmlformats.org/officeDocument/2006/relationships/hyperlink" Target="https://www.google.com/maps/search/?api=1&amp;query=25.62019044,-103.39144608" TargetMode="External"/><Relationship Id="rId257" Type="http://schemas.openxmlformats.org/officeDocument/2006/relationships/hyperlink" Target="https://www.google.com/maps/search/?api=1&amp;query=25.61188044,-103.38899435" TargetMode="External"/><Relationship Id="rId278" Type="http://schemas.openxmlformats.org/officeDocument/2006/relationships/hyperlink" Target="https://www.google.com/maps/search/?api=1&amp;query=25.61972445,-103.39088559" TargetMode="External"/><Relationship Id="rId401" Type="http://schemas.openxmlformats.org/officeDocument/2006/relationships/hyperlink" Target="https://www.google.com/maps/search/?api=1&amp;query=25.04717625,-105.4178189" TargetMode="External"/><Relationship Id="rId303" Type="http://schemas.openxmlformats.org/officeDocument/2006/relationships/hyperlink" Target="https://www.google.com/maps/search/?api=1&amp;query=25.54483611,-103.40077219" TargetMode="External"/><Relationship Id="rId42" Type="http://schemas.openxmlformats.org/officeDocument/2006/relationships/hyperlink" Target="https://www.google.com/maps/search/?api=1&amp;query=24.05311485,-104.60697051" TargetMode="External"/><Relationship Id="rId84" Type="http://schemas.openxmlformats.org/officeDocument/2006/relationships/hyperlink" Target="https://www.google.com/maps/search/?api=1&amp;query=24.01216727,-104.6910437" TargetMode="External"/><Relationship Id="rId138" Type="http://schemas.openxmlformats.org/officeDocument/2006/relationships/hyperlink" Target="https://www.google.com/maps/search/?api=1&amp;query=24.01722308,-104.65073846" TargetMode="External"/><Relationship Id="rId345" Type="http://schemas.openxmlformats.org/officeDocument/2006/relationships/hyperlink" Target="https://www.google.com/maps/search/?api=1&amp;query=25.57813625,-103.40683403" TargetMode="External"/><Relationship Id="rId387" Type="http://schemas.openxmlformats.org/officeDocument/2006/relationships/hyperlink" Target="https://www.google.com/maps/search/?api=1&amp;query=23.97160456,-104.04657466" TargetMode="External"/><Relationship Id="rId191" Type="http://schemas.openxmlformats.org/officeDocument/2006/relationships/hyperlink" Target="https://www.google.com/maps/search/?api=1&amp;query=25.55294865,-103.49057675" TargetMode="External"/><Relationship Id="rId205" Type="http://schemas.openxmlformats.org/officeDocument/2006/relationships/hyperlink" Target="https://www.google.com/maps/search/?api=1&amp;query=25.56233091,-103.43023904" TargetMode="External"/><Relationship Id="rId247" Type="http://schemas.openxmlformats.org/officeDocument/2006/relationships/hyperlink" Target="https://www.google.com/maps/search/?api=1&amp;query=25.53592406,-103.38420953" TargetMode="External"/><Relationship Id="rId412" Type="http://schemas.openxmlformats.org/officeDocument/2006/relationships/hyperlink" Target="https://www.google.com/maps/search/?api=1&amp;query=26.10375314,-103.43694292" TargetMode="External"/><Relationship Id="rId107" Type="http://schemas.openxmlformats.org/officeDocument/2006/relationships/hyperlink" Target="https://www.google.com/maps/search/?api=1&amp;query=24.01993715,-104.63517799" TargetMode="External"/><Relationship Id="rId289" Type="http://schemas.openxmlformats.org/officeDocument/2006/relationships/hyperlink" Target="https://www.google.com/maps/search/?api=1&amp;query=25.52322347,-103.40313811" TargetMode="External"/><Relationship Id="rId11" Type="http://schemas.openxmlformats.org/officeDocument/2006/relationships/hyperlink" Target="https://www.google.com/maps/search/?api=1&amp;query=24.03139217,-104.62424634" TargetMode="External"/><Relationship Id="rId53" Type="http://schemas.openxmlformats.org/officeDocument/2006/relationships/hyperlink" Target="https://www.google.com/maps/search/?api=1&amp;query=24.01985882,-104.63837896" TargetMode="External"/><Relationship Id="rId149" Type="http://schemas.openxmlformats.org/officeDocument/2006/relationships/hyperlink" Target="https://www.google.com/maps/search/?api=1&amp;query=24.02933544,-104.67467074" TargetMode="External"/><Relationship Id="rId314" Type="http://schemas.openxmlformats.org/officeDocument/2006/relationships/hyperlink" Target="https://www.google.com/maps/search/?api=1&amp;query=25.5525456,-103.43555524" TargetMode="External"/><Relationship Id="rId356" Type="http://schemas.openxmlformats.org/officeDocument/2006/relationships/hyperlink" Target="https://www.google.com/maps/search/?api=1&amp;query=24.52641731,-104.77753651" TargetMode="External"/><Relationship Id="rId398" Type="http://schemas.openxmlformats.org/officeDocument/2006/relationships/hyperlink" Target="https://www.google.com/maps/search/?api=1&amp;query=24.77834357,-104.46424406" TargetMode="External"/><Relationship Id="rId95" Type="http://schemas.openxmlformats.org/officeDocument/2006/relationships/hyperlink" Target="https://www.google.com/maps/search/?api=1&amp;query=24.00849853,-104.67952527" TargetMode="External"/><Relationship Id="rId160" Type="http://schemas.openxmlformats.org/officeDocument/2006/relationships/hyperlink" Target="https://www.google.com/maps/search/?api=1&amp;query=25.59166027,-103.50585312" TargetMode="External"/><Relationship Id="rId216" Type="http://schemas.openxmlformats.org/officeDocument/2006/relationships/hyperlink" Target="https://www.google.com/maps/search/?api=1&amp;query=25.58315568,-103.38066899" TargetMode="External"/><Relationship Id="rId258" Type="http://schemas.openxmlformats.org/officeDocument/2006/relationships/hyperlink" Target="https://www.google.com/maps/search/?api=1&amp;query=25.52280186,-103.40155403" TargetMode="External"/><Relationship Id="rId22" Type="http://schemas.openxmlformats.org/officeDocument/2006/relationships/hyperlink" Target="https://www.google.com/maps/search/?api=1&amp;query=24.01799227,-104.69020704" TargetMode="External"/><Relationship Id="rId64" Type="http://schemas.openxmlformats.org/officeDocument/2006/relationships/hyperlink" Target="https://www.google.com/maps/search/?api=1&amp;query=24.00370473,-104.60843434" TargetMode="External"/><Relationship Id="rId118" Type="http://schemas.openxmlformats.org/officeDocument/2006/relationships/hyperlink" Target="https://www.google.com/maps/search/?api=1&amp;query=24.03905606,-104.65562971" TargetMode="External"/><Relationship Id="rId325" Type="http://schemas.openxmlformats.org/officeDocument/2006/relationships/hyperlink" Target="https://www.google.com/maps/search/?api=1&amp;query=25.53876295,-103.41396061" TargetMode="External"/><Relationship Id="rId367" Type="http://schemas.openxmlformats.org/officeDocument/2006/relationships/hyperlink" Target="https://www.google.com/maps/search/?api=1&amp;query=24.44527134,-104.12055544" TargetMode="External"/><Relationship Id="rId171" Type="http://schemas.openxmlformats.org/officeDocument/2006/relationships/hyperlink" Target="https://www.google.com/maps/search/?api=1&amp;query=25.56699073,-103.47384415" TargetMode="External"/><Relationship Id="rId227" Type="http://schemas.openxmlformats.org/officeDocument/2006/relationships/hyperlink" Target="https://www.google.com/maps/search/?api=1&amp;query=25.57748446,-103.40871746" TargetMode="External"/><Relationship Id="rId269" Type="http://schemas.openxmlformats.org/officeDocument/2006/relationships/hyperlink" Target="https://www.google.com/maps/search/?api=1&amp;query=25.51644505,-103.41523602" TargetMode="External"/><Relationship Id="rId33" Type="http://schemas.openxmlformats.org/officeDocument/2006/relationships/hyperlink" Target="https://www.google.com/maps/search/?api=1&amp;query=24.04128512,-104.64969332" TargetMode="External"/><Relationship Id="rId129" Type="http://schemas.openxmlformats.org/officeDocument/2006/relationships/hyperlink" Target="https://www.google.com/maps/search/?api=1&amp;query=24.01970582,-104.64525763" TargetMode="External"/><Relationship Id="rId280" Type="http://schemas.openxmlformats.org/officeDocument/2006/relationships/hyperlink" Target="https://www.google.com/maps/search/?api=1&amp;query=25.58722453,-103.35644771" TargetMode="External"/><Relationship Id="rId336" Type="http://schemas.openxmlformats.org/officeDocument/2006/relationships/hyperlink" Target="https://www.google.com/maps/search/?api=1&amp;query=25.53869871,-103.45699634" TargetMode="External"/><Relationship Id="rId75" Type="http://schemas.openxmlformats.org/officeDocument/2006/relationships/hyperlink" Target="https://www.google.com/maps/search/?api=1&amp;query=24.06011209,-104.60094587" TargetMode="External"/><Relationship Id="rId140" Type="http://schemas.openxmlformats.org/officeDocument/2006/relationships/hyperlink" Target="https://www.google.com/maps/search/?api=1&amp;query=24.01205224,-104.65162415" TargetMode="External"/><Relationship Id="rId182" Type="http://schemas.openxmlformats.org/officeDocument/2006/relationships/hyperlink" Target="https://www.google.com/maps/search/?api=1&amp;query=25.57034838,-103.48631721" TargetMode="External"/><Relationship Id="rId378" Type="http://schemas.openxmlformats.org/officeDocument/2006/relationships/hyperlink" Target="https://www.google.com/maps/search/?api=1&amp;query=24.88664115,-105.07112127" TargetMode="External"/><Relationship Id="rId403" Type="http://schemas.openxmlformats.org/officeDocument/2006/relationships/hyperlink" Target="https://www.google.com/maps/search/?api=1&amp;query=25.04819231,-105.41992085" TargetMode="External"/><Relationship Id="rId6" Type="http://schemas.openxmlformats.org/officeDocument/2006/relationships/hyperlink" Target="https://www.google.com/maps/search/?api=1&amp;query=24.0468929,-104.61904692" TargetMode="External"/><Relationship Id="rId238" Type="http://schemas.openxmlformats.org/officeDocument/2006/relationships/hyperlink" Target="https://www.google.com/maps/search/?api=1&amp;query=25.56949433,-103.4384816" TargetMode="External"/><Relationship Id="rId291" Type="http://schemas.openxmlformats.org/officeDocument/2006/relationships/hyperlink" Target="https://www.google.com/maps/search/?api=1&amp;query=25.5726623,-103.42482058" TargetMode="External"/><Relationship Id="rId305" Type="http://schemas.openxmlformats.org/officeDocument/2006/relationships/hyperlink" Target="https://www.google.com/maps/search/?api=1&amp;query=25.5157846,-103.39155874" TargetMode="External"/><Relationship Id="rId347" Type="http://schemas.openxmlformats.org/officeDocument/2006/relationships/hyperlink" Target="https://www.google.com/maps/search/?api=1&amp;query=25.61140037,-103.39842571" TargetMode="External"/><Relationship Id="rId44" Type="http://schemas.openxmlformats.org/officeDocument/2006/relationships/hyperlink" Target="https://www.google.com/maps/search/?api=1&amp;query=24.03246414,-104.63125664" TargetMode="External"/><Relationship Id="rId86" Type="http://schemas.openxmlformats.org/officeDocument/2006/relationships/hyperlink" Target="https://www.google.com/maps/search/?api=1&amp;query=24.03524862,-104.68584906" TargetMode="External"/><Relationship Id="rId151" Type="http://schemas.openxmlformats.org/officeDocument/2006/relationships/hyperlink" Target="https://www.google.com/maps/search/?api=1&amp;query=24.00304002,-104.65336574" TargetMode="External"/><Relationship Id="rId389" Type="http://schemas.openxmlformats.org/officeDocument/2006/relationships/hyperlink" Target="https://www.google.com/maps/search/?api=1&amp;query=23.97605287,-104.04380585" TargetMode="External"/><Relationship Id="rId193" Type="http://schemas.openxmlformats.org/officeDocument/2006/relationships/hyperlink" Target="https://www.google.com/maps/search/?api=1&amp;query=25.55201962,-103.48924369" TargetMode="External"/><Relationship Id="rId207" Type="http://schemas.openxmlformats.org/officeDocument/2006/relationships/hyperlink" Target="https://www.google.com/maps/search/?api=1&amp;query=25.57518539,-103.37565254" TargetMode="External"/><Relationship Id="rId249" Type="http://schemas.openxmlformats.org/officeDocument/2006/relationships/hyperlink" Target="https://www.google.com/maps/search/?api=1&amp;query=25.57171691,-103.44283009" TargetMode="External"/><Relationship Id="rId414" Type="http://schemas.openxmlformats.org/officeDocument/2006/relationships/hyperlink" Target="https://www.google.com/maps/search/?api=1&amp;query=23.73106341,-103.98647024" TargetMode="External"/><Relationship Id="rId13" Type="http://schemas.openxmlformats.org/officeDocument/2006/relationships/hyperlink" Target="https://www.google.com/maps/search/?api=1&amp;query=24.01060455,-104.65351371" TargetMode="External"/><Relationship Id="rId109" Type="http://schemas.openxmlformats.org/officeDocument/2006/relationships/hyperlink" Target="https://www.google.com/maps/search/?api=1&amp;query=23.99879578,-104.66432381" TargetMode="External"/><Relationship Id="rId260" Type="http://schemas.openxmlformats.org/officeDocument/2006/relationships/hyperlink" Target="https://www.google.com/maps/search/?api=1&amp;query=25.54872931,-103.43939327" TargetMode="External"/><Relationship Id="rId316" Type="http://schemas.openxmlformats.org/officeDocument/2006/relationships/hyperlink" Target="https://www.google.com/maps/search/?api=1&amp;query=25.51917531,-103.40613231" TargetMode="External"/><Relationship Id="rId55" Type="http://schemas.openxmlformats.org/officeDocument/2006/relationships/hyperlink" Target="https://www.google.com/maps/search/?api=1&amp;query=24.05118517,-104.5996857" TargetMode="External"/><Relationship Id="rId97" Type="http://schemas.openxmlformats.org/officeDocument/2006/relationships/hyperlink" Target="https://www.google.com/maps/search/?api=1&amp;query=24.02022611,-104.63176367" TargetMode="External"/><Relationship Id="rId120" Type="http://schemas.openxmlformats.org/officeDocument/2006/relationships/hyperlink" Target="https://www.google.com/maps/search/?api=1&amp;query=24.02423875,-104.65649709" TargetMode="External"/><Relationship Id="rId358" Type="http://schemas.openxmlformats.org/officeDocument/2006/relationships/hyperlink" Target="https://www.google.com/maps/search/?api=1&amp;query=24.5273423,-104.77610299" TargetMode="External"/><Relationship Id="rId162" Type="http://schemas.openxmlformats.org/officeDocument/2006/relationships/hyperlink" Target="https://www.google.com/maps/search/?api=1&amp;query=25.59112312,-103.49575296" TargetMode="External"/><Relationship Id="rId218" Type="http://schemas.openxmlformats.org/officeDocument/2006/relationships/hyperlink" Target="https://www.google.com/maps/search/?api=1&amp;query=25.55060959,-103.42768326" TargetMode="External"/><Relationship Id="rId271" Type="http://schemas.openxmlformats.org/officeDocument/2006/relationships/hyperlink" Target="https://www.google.com/maps/search/?api=1&amp;query=25.52020821,-103.40533395" TargetMode="External"/><Relationship Id="rId24" Type="http://schemas.openxmlformats.org/officeDocument/2006/relationships/hyperlink" Target="https://www.google.com/maps/search/?api=1&amp;query=23.9874,-104.66450656" TargetMode="External"/><Relationship Id="rId66" Type="http://schemas.openxmlformats.org/officeDocument/2006/relationships/hyperlink" Target="https://www.google.com/maps/search/?api=1&amp;query=24.00915438,-104.70212216" TargetMode="External"/><Relationship Id="rId131" Type="http://schemas.openxmlformats.org/officeDocument/2006/relationships/hyperlink" Target="https://www.google.com/maps/search/?api=1&amp;query=24.00645055,-104.69134754" TargetMode="External"/><Relationship Id="rId327" Type="http://schemas.openxmlformats.org/officeDocument/2006/relationships/hyperlink" Target="https://www.google.com/maps/search/?api=1&amp;query=25.54999797,-103.4492526" TargetMode="External"/><Relationship Id="rId369" Type="http://schemas.openxmlformats.org/officeDocument/2006/relationships/hyperlink" Target="https://www.google.com/maps/search/?api=1&amp;query=24.4476996,-104.12160385" TargetMode="External"/><Relationship Id="rId173" Type="http://schemas.openxmlformats.org/officeDocument/2006/relationships/hyperlink" Target="https://www.google.com/maps/search/?api=1&amp;query=25.56963533,-103.49310184" TargetMode="External"/><Relationship Id="rId229" Type="http://schemas.openxmlformats.org/officeDocument/2006/relationships/hyperlink" Target="https://www.google.com/maps/search/?api=1&amp;query=25.55158601,-103.43551364" TargetMode="External"/><Relationship Id="rId380" Type="http://schemas.openxmlformats.org/officeDocument/2006/relationships/hyperlink" Target="https://www.google.com/maps/search/?api=1&amp;query=24.89010181,-105.07006578" TargetMode="External"/><Relationship Id="rId240" Type="http://schemas.openxmlformats.org/officeDocument/2006/relationships/hyperlink" Target="https://www.google.com/maps/search/?api=1&amp;query=25.54843053,-103.45942111" TargetMode="External"/><Relationship Id="rId35" Type="http://schemas.openxmlformats.org/officeDocument/2006/relationships/hyperlink" Target="https://www.google.com/maps/search/?api=1&amp;query=24.04475601,-104.6364388" TargetMode="External"/><Relationship Id="rId77" Type="http://schemas.openxmlformats.org/officeDocument/2006/relationships/hyperlink" Target="https://www.google.com/maps/search/?api=1&amp;query=24.02729232,-104.62219068" TargetMode="External"/><Relationship Id="rId100" Type="http://schemas.openxmlformats.org/officeDocument/2006/relationships/hyperlink" Target="https://www.google.com/maps/search/?api=1&amp;query=24.1037357,-104.57493588" TargetMode="External"/><Relationship Id="rId282" Type="http://schemas.openxmlformats.org/officeDocument/2006/relationships/hyperlink" Target="https://www.google.com/maps/search/?api=1&amp;query=25.55673779,-103.44874411" TargetMode="External"/><Relationship Id="rId338" Type="http://schemas.openxmlformats.org/officeDocument/2006/relationships/hyperlink" Target="https://www.google.com/maps/search/?api=1&amp;query=25.56733024,-103.38326657" TargetMode="External"/><Relationship Id="rId8" Type="http://schemas.openxmlformats.org/officeDocument/2006/relationships/hyperlink" Target="https://www.google.com/maps/search/?api=1&amp;query=24.01432806,-104.69055428" TargetMode="External"/><Relationship Id="rId142" Type="http://schemas.openxmlformats.org/officeDocument/2006/relationships/hyperlink" Target="https://www.google.com/maps/search/?api=1&amp;query=24.01327783,-104.67553719" TargetMode="External"/><Relationship Id="rId184" Type="http://schemas.openxmlformats.org/officeDocument/2006/relationships/hyperlink" Target="https://www.google.com/maps/search/?api=1&amp;query=25.5830297,-103.49452756" TargetMode="External"/><Relationship Id="rId391" Type="http://schemas.openxmlformats.org/officeDocument/2006/relationships/hyperlink" Target="https://www.google.com/maps/search/?api=1&amp;query=23.78173331,-105.36123745" TargetMode="External"/><Relationship Id="rId405" Type="http://schemas.openxmlformats.org/officeDocument/2006/relationships/hyperlink" Target="https://www.google.com/maps/search/?api=1&amp;query=25.04531553,-105.41865063" TargetMode="External"/><Relationship Id="rId251" Type="http://schemas.openxmlformats.org/officeDocument/2006/relationships/hyperlink" Target="https://www.google.com/maps/search/?api=1&amp;query=25.62426049,-103.3767054" TargetMode="External"/><Relationship Id="rId46" Type="http://schemas.openxmlformats.org/officeDocument/2006/relationships/hyperlink" Target="https://www.google.com/maps/search/?api=1&amp;query=24.02507385,-104.64403625" TargetMode="External"/><Relationship Id="rId293" Type="http://schemas.openxmlformats.org/officeDocument/2006/relationships/hyperlink" Target="https://www.google.com/maps/search/?api=1&amp;query=25.53093943,-103.41543641" TargetMode="External"/><Relationship Id="rId307" Type="http://schemas.openxmlformats.org/officeDocument/2006/relationships/hyperlink" Target="https://www.google.com/maps/search/?api=1&amp;query=25.53960995,-103.35881164" TargetMode="External"/><Relationship Id="rId349" Type="http://schemas.openxmlformats.org/officeDocument/2006/relationships/hyperlink" Target="https://www.google.com/maps/search/?api=1&amp;query=25.56191376,-103.43155387" TargetMode="External"/><Relationship Id="rId88" Type="http://schemas.openxmlformats.org/officeDocument/2006/relationships/hyperlink" Target="https://www.google.com/maps/search/?api=1&amp;query=24.0194198,-104.65619488" TargetMode="External"/><Relationship Id="rId111" Type="http://schemas.openxmlformats.org/officeDocument/2006/relationships/hyperlink" Target="https://www.google.com/maps/search/?api=1&amp;query=24.02988732,-104.67279491" TargetMode="External"/><Relationship Id="rId153" Type="http://schemas.openxmlformats.org/officeDocument/2006/relationships/hyperlink" Target="https://www.google.com/maps/search/?api=1&amp;query=25.57138062,-103.45424108" TargetMode="External"/><Relationship Id="rId195" Type="http://schemas.openxmlformats.org/officeDocument/2006/relationships/hyperlink" Target="https://www.google.com/maps/search/?api=1&amp;query=25.54518728,-103.51301433" TargetMode="External"/><Relationship Id="rId209" Type="http://schemas.openxmlformats.org/officeDocument/2006/relationships/hyperlink" Target="https://www.google.com/maps/search/?api=1&amp;query=25.53803573,-103.4266854" TargetMode="External"/><Relationship Id="rId360" Type="http://schemas.openxmlformats.org/officeDocument/2006/relationships/hyperlink" Target="https://www.google.com/maps/search/?api=1&amp;query=24.86992682,-103.69525602" TargetMode="External"/><Relationship Id="rId220" Type="http://schemas.openxmlformats.org/officeDocument/2006/relationships/hyperlink" Target="https://www.google.com/maps/search/?api=1&amp;query=25.5468241,-103.39302606" TargetMode="External"/><Relationship Id="rId15" Type="http://schemas.openxmlformats.org/officeDocument/2006/relationships/hyperlink" Target="https://www.google.com/maps/search/?api=1&amp;query=24.00545892,-104.6551747" TargetMode="External"/><Relationship Id="rId57" Type="http://schemas.openxmlformats.org/officeDocument/2006/relationships/hyperlink" Target="https://www.google.com/maps/search/?api=1&amp;query=24.04448957,-104.63158665" TargetMode="External"/><Relationship Id="rId262" Type="http://schemas.openxmlformats.org/officeDocument/2006/relationships/hyperlink" Target="https://www.google.com/maps/search/?api=1&amp;query=25.62423995,-103.37681493" TargetMode="External"/><Relationship Id="rId318" Type="http://schemas.openxmlformats.org/officeDocument/2006/relationships/hyperlink" Target="https://www.google.com/maps/search/?api=1&amp;query=25.53000018,-103.43127116" TargetMode="External"/><Relationship Id="rId99" Type="http://schemas.openxmlformats.org/officeDocument/2006/relationships/hyperlink" Target="https://www.google.com/maps/search/?api=1&amp;query=24.00211273,-104.65329852" TargetMode="External"/><Relationship Id="rId122" Type="http://schemas.openxmlformats.org/officeDocument/2006/relationships/hyperlink" Target="https://www.google.com/maps/search/?api=1&amp;query=24.02210102,-104.65502326" TargetMode="External"/><Relationship Id="rId164" Type="http://schemas.openxmlformats.org/officeDocument/2006/relationships/hyperlink" Target="https://www.google.com/maps/search/?api=1&amp;query=25.55923,-103.50601945" TargetMode="External"/><Relationship Id="rId371" Type="http://schemas.openxmlformats.org/officeDocument/2006/relationships/hyperlink" Target="https://www.google.com/maps/search/?api=1&amp;query=25.88880722,-103.62783845" TargetMode="External"/><Relationship Id="rId26" Type="http://schemas.openxmlformats.org/officeDocument/2006/relationships/hyperlink" Target="https://www.google.com/maps/search/?api=1&amp;query=24.04351421,-104.62224223" TargetMode="External"/><Relationship Id="rId231" Type="http://schemas.openxmlformats.org/officeDocument/2006/relationships/hyperlink" Target="https://www.google.com/maps/search/?api=1&amp;query=25.54438399,-103.38178917" TargetMode="External"/><Relationship Id="rId273" Type="http://schemas.openxmlformats.org/officeDocument/2006/relationships/hyperlink" Target="https://www.google.com/maps/search/?api=1&amp;query=25.55165265,-103.37221967" TargetMode="External"/><Relationship Id="rId329" Type="http://schemas.openxmlformats.org/officeDocument/2006/relationships/hyperlink" Target="https://www.google.com/maps/search/?api=1&amp;query=25.59631556,-103.41331056" TargetMode="External"/><Relationship Id="rId68" Type="http://schemas.openxmlformats.org/officeDocument/2006/relationships/hyperlink" Target="https://www.google.com/maps/search/?api=1&amp;query=24.0199504,-104.65761611" TargetMode="External"/><Relationship Id="rId133" Type="http://schemas.openxmlformats.org/officeDocument/2006/relationships/hyperlink" Target="https://www.google.com/maps/search/?api=1&amp;query=24.00441714,-104.65545239" TargetMode="External"/><Relationship Id="rId175" Type="http://schemas.openxmlformats.org/officeDocument/2006/relationships/hyperlink" Target="https://www.google.com/maps/search/?api=1&amp;query=25.59217876,-103.49630626" TargetMode="External"/><Relationship Id="rId340" Type="http://schemas.openxmlformats.org/officeDocument/2006/relationships/hyperlink" Target="https://www.google.com/maps/search/?api=1&amp;query=25.57613928,-103.41202305" TargetMode="External"/><Relationship Id="rId200" Type="http://schemas.openxmlformats.org/officeDocument/2006/relationships/hyperlink" Target="https://www.google.com/maps/search/?api=1&amp;query=25.54195112,-103.50837609" TargetMode="External"/><Relationship Id="rId382" Type="http://schemas.openxmlformats.org/officeDocument/2006/relationships/hyperlink" Target="https://www.google.com/maps/search/?api=1&amp;query=24.88737481,-105.07143952" TargetMode="External"/><Relationship Id="rId242" Type="http://schemas.openxmlformats.org/officeDocument/2006/relationships/hyperlink" Target="https://www.google.com/maps/search/?api=1&amp;query=25.54030562,-103.39347563" TargetMode="External"/><Relationship Id="rId284" Type="http://schemas.openxmlformats.org/officeDocument/2006/relationships/hyperlink" Target="https://www.google.com/maps/search/?api=1&amp;query=25.55803324,-103.38700409" TargetMode="External"/><Relationship Id="rId37" Type="http://schemas.openxmlformats.org/officeDocument/2006/relationships/hyperlink" Target="https://www.google.com/maps/search/?api=1&amp;query=24.00972282,-104.71069331" TargetMode="External"/><Relationship Id="rId79" Type="http://schemas.openxmlformats.org/officeDocument/2006/relationships/hyperlink" Target="https://www.google.com/maps/search/?api=1&amp;query=24.01705914,-104.68342589" TargetMode="External"/><Relationship Id="rId102" Type="http://schemas.openxmlformats.org/officeDocument/2006/relationships/hyperlink" Target="https://www.google.com/maps/search/?api=1&amp;query=23.99310456,-104.69271451" TargetMode="External"/><Relationship Id="rId144" Type="http://schemas.openxmlformats.org/officeDocument/2006/relationships/hyperlink" Target="https://www.google.com/maps/search/?api=1&amp;query=24.04121493,-104.66888068" TargetMode="External"/><Relationship Id="rId90" Type="http://schemas.openxmlformats.org/officeDocument/2006/relationships/hyperlink" Target="https://www.google.com/maps/search/?api=1&amp;query=24.05084242,-104.61217538" TargetMode="External"/><Relationship Id="rId186" Type="http://schemas.openxmlformats.org/officeDocument/2006/relationships/hyperlink" Target="https://www.google.com/maps/search/?api=1&amp;query=25.58577559,-103.49129371" TargetMode="External"/><Relationship Id="rId351" Type="http://schemas.openxmlformats.org/officeDocument/2006/relationships/hyperlink" Target="https://www.google.com/maps/search/?api=1&amp;query=25.53240831,-103.23768814" TargetMode="External"/><Relationship Id="rId393" Type="http://schemas.openxmlformats.org/officeDocument/2006/relationships/hyperlink" Target="https://www.google.com/maps/search/?api=1&amp;query=23.72769392,-105.69206872" TargetMode="External"/><Relationship Id="rId407" Type="http://schemas.openxmlformats.org/officeDocument/2006/relationships/hyperlink" Target="https://www.google.com/maps/search/?api=1&amp;query=25.04511797,-105.42961738" TargetMode="External"/><Relationship Id="rId211" Type="http://schemas.openxmlformats.org/officeDocument/2006/relationships/hyperlink" Target="https://www.google.com/maps/search/?api=1&amp;query=25.51785502,-103.39633727" TargetMode="External"/><Relationship Id="rId253" Type="http://schemas.openxmlformats.org/officeDocument/2006/relationships/hyperlink" Target="https://www.google.com/maps/search/?api=1&amp;query=25.53642685,-103.39613074" TargetMode="External"/><Relationship Id="rId295" Type="http://schemas.openxmlformats.org/officeDocument/2006/relationships/hyperlink" Target="https://www.google.com/maps/search/?api=1&amp;query=25.52256131,-103.35177602" TargetMode="External"/><Relationship Id="rId309" Type="http://schemas.openxmlformats.org/officeDocument/2006/relationships/hyperlink" Target="https://www.google.com/maps/search/?api=1&amp;query=25.60157088,-103.36828651" TargetMode="External"/><Relationship Id="rId48" Type="http://schemas.openxmlformats.org/officeDocument/2006/relationships/hyperlink" Target="https://www.google.com/maps/search/?api=1&amp;query=24.02522176,-104.64193647" TargetMode="External"/><Relationship Id="rId113" Type="http://schemas.openxmlformats.org/officeDocument/2006/relationships/hyperlink" Target="https://www.google.com/maps/search/?api=1&amp;query=24.04361165,-104.65990308" TargetMode="External"/><Relationship Id="rId320" Type="http://schemas.openxmlformats.org/officeDocument/2006/relationships/hyperlink" Target="https://www.google.com/maps/search/?api=1&amp;query=25.54195469,-103.4670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/>
  </sheetViews>
  <sheetFormatPr baseColWidth="10" defaultColWidth="8.88671875" defaultRowHeight="14.4" x14ac:dyDescent="0.3"/>
  <cols>
    <col min="1" max="1" width="110" customWidth="1"/>
  </cols>
  <sheetData>
    <row r="1" spans="1:1" ht="21" x14ac:dyDescent="0.4">
      <c r="A1" s="1" t="s">
        <v>0</v>
      </c>
    </row>
    <row r="2" spans="1:1" x14ac:dyDescent="0.3">
      <c r="A2" s="2" t="s">
        <v>1</v>
      </c>
    </row>
    <row r="4" spans="1:1" ht="15.6" x14ac:dyDescent="0.3">
      <c r="A4" s="3" t="s">
        <v>2</v>
      </c>
    </row>
    <row r="5" spans="1:1" ht="27.6" x14ac:dyDescent="0.3">
      <c r="A5" s="4" t="s">
        <v>3</v>
      </c>
    </row>
    <row r="6" spans="1:1" x14ac:dyDescent="0.3">
      <c r="A6" s="4" t="s">
        <v>4</v>
      </c>
    </row>
    <row r="8" spans="1:1" ht="15.6" x14ac:dyDescent="0.3">
      <c r="A8" s="3" t="s">
        <v>5</v>
      </c>
    </row>
    <row r="9" spans="1:1" ht="27.6" x14ac:dyDescent="0.3">
      <c r="A9" s="4" t="s">
        <v>6</v>
      </c>
    </row>
    <row r="10" spans="1:1" ht="27.6" x14ac:dyDescent="0.3">
      <c r="A10" s="4" t="s">
        <v>7</v>
      </c>
    </row>
    <row r="12" spans="1:1" ht="15.6" x14ac:dyDescent="0.3">
      <c r="A12" s="3" t="s">
        <v>8</v>
      </c>
    </row>
    <row r="13" spans="1:1" ht="27.6" x14ac:dyDescent="0.3">
      <c r="A13" s="4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ht="27.6" x14ac:dyDescent="0.3">
      <c r="A16" s="4" t="s">
        <v>12</v>
      </c>
    </row>
    <row r="18" spans="1:1" ht="15.6" x14ac:dyDescent="0.3">
      <c r="A18" s="3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ht="27.6" x14ac:dyDescent="0.3">
      <c r="A21" s="4" t="s">
        <v>16</v>
      </c>
    </row>
    <row r="22" spans="1:1" ht="27.6" x14ac:dyDescent="0.3">
      <c r="A22" s="4" t="s">
        <v>17</v>
      </c>
    </row>
    <row r="23" spans="1:1" x14ac:dyDescent="0.3">
      <c r="A23" s="4" t="s">
        <v>18</v>
      </c>
    </row>
    <row r="25" spans="1:1" ht="15.6" x14ac:dyDescent="0.3">
      <c r="A25" s="3" t="s">
        <v>19</v>
      </c>
    </row>
    <row r="26" spans="1:1" ht="27.6" x14ac:dyDescent="0.3">
      <c r="A26" s="4" t="s">
        <v>20</v>
      </c>
    </row>
    <row r="27" spans="1:1" ht="27.6" x14ac:dyDescent="0.3">
      <c r="A27" s="4" t="s">
        <v>21</v>
      </c>
    </row>
    <row r="28" spans="1:1" x14ac:dyDescent="0.3">
      <c r="A28" s="4" t="s">
        <v>22</v>
      </c>
    </row>
    <row r="29" spans="1:1" ht="27.6" x14ac:dyDescent="0.3">
      <c r="A29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11" width="14" customWidth="1"/>
  </cols>
  <sheetData>
    <row r="1" spans="1:11" ht="21" x14ac:dyDescent="0.4">
      <c r="A1" s="1" t="s">
        <v>24</v>
      </c>
    </row>
    <row r="2" spans="1:11" x14ac:dyDescent="0.3">
      <c r="A2" s="2" t="s">
        <v>25</v>
      </c>
    </row>
    <row r="4" spans="1:11" ht="31.95" customHeight="1" x14ac:dyDescent="0.3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</row>
    <row r="5" spans="1:11" x14ac:dyDescent="0.3">
      <c r="A5" s="6" t="s">
        <v>37</v>
      </c>
      <c r="B5" s="6">
        <f>COUNTIF(Listado!$B$2:$B$416,$A5)</f>
        <v>152</v>
      </c>
      <c r="C5" s="6">
        <f>COUNTIFS(Listado!$B$2:$B$416,$A5,Listado!$L$2:$L$416,"&lt;&gt;")</f>
        <v>78</v>
      </c>
      <c r="D5" s="6">
        <f>COUNTIFS(Listado!$B$2:$B$416,$A5,Listado!$M$2:$M$416,"&lt;&gt;")</f>
        <v>14</v>
      </c>
      <c r="E5" s="6">
        <f>COUNTIFS(Listado!$B$2:$B$416,$A5,Listado!$N$2:$N$416,"&lt;&gt;")</f>
        <v>3</v>
      </c>
      <c r="F5" s="6">
        <f>COUNTIFS(Listado!$B$2:$B$416,$A5,Listado!$G$2:$G$416,"*avandería*")</f>
        <v>124</v>
      </c>
      <c r="G5" s="6">
        <f>COUNTIFS(Listado!$B$2:$B$416,$A5,Listado!$G$2:$G$416,"*intorería*")</f>
        <v>12</v>
      </c>
      <c r="H5" s="6">
        <f>COUNTIFS(Listado!$B$2:$B$416,$A5,Listado!$G$2:$G$416,"*lanchaduría*")</f>
        <v>33</v>
      </c>
      <c r="I5" s="6">
        <f>COUNTIFS(Listado!$B$2:$B$416,$A5,Listado!$G$2:$G$416,"No se sabe por el nombre")</f>
        <v>8</v>
      </c>
      <c r="J5" s="6">
        <f>COUNTIFS(Listado!$B$2:$B$416,$A5,Listado!$S$2:$S$416,"Sí")</f>
        <v>0</v>
      </c>
      <c r="K5" s="6">
        <f>COUNTIFS(Listado!$B$2:$B$416,$A5,Listado!$T$2:$T$416,"Le interesa")</f>
        <v>0</v>
      </c>
    </row>
    <row r="6" spans="1:11" x14ac:dyDescent="0.3">
      <c r="A6" s="6" t="s">
        <v>38</v>
      </c>
      <c r="B6" s="6">
        <f>COUNTIF(Listado!$B$2:$B$416,$A6)</f>
        <v>52</v>
      </c>
      <c r="C6" s="6">
        <f>COUNTIFS(Listado!$B$2:$B$416,$A6,Listado!$L$2:$L$416,"&lt;&gt;")</f>
        <v>27</v>
      </c>
      <c r="D6" s="6">
        <f>COUNTIFS(Listado!$B$2:$B$416,$A6,Listado!$M$2:$M$416,"&lt;&gt;")</f>
        <v>8</v>
      </c>
      <c r="E6" s="6">
        <f>COUNTIFS(Listado!$B$2:$B$416,$A6,Listado!$N$2:$N$416,"&lt;&gt;")</f>
        <v>1</v>
      </c>
      <c r="F6" s="6">
        <f>COUNTIFS(Listado!$B$2:$B$416,$A6,Listado!$G$2:$G$416,"*avandería*")</f>
        <v>40</v>
      </c>
      <c r="G6" s="6">
        <f>COUNTIFS(Listado!$B$2:$B$416,$A6,Listado!$G$2:$G$416,"*intorería*")</f>
        <v>7</v>
      </c>
      <c r="H6" s="6">
        <f>COUNTIFS(Listado!$B$2:$B$416,$A6,Listado!$G$2:$G$416,"*lanchaduría*")</f>
        <v>8</v>
      </c>
      <c r="I6" s="6">
        <f>COUNTIFS(Listado!$B$2:$B$416,$A6,Listado!$G$2:$G$416,"No se sabe por el nombre")</f>
        <v>3</v>
      </c>
      <c r="J6" s="6">
        <f>COUNTIFS(Listado!$B$2:$B$416,$A6,Listado!$S$2:$S$416,"Sí")</f>
        <v>0</v>
      </c>
      <c r="K6" s="6">
        <f>COUNTIFS(Listado!$B$2:$B$416,$A6,Listado!$T$2:$T$416,"Le interesa")</f>
        <v>0</v>
      </c>
    </row>
    <row r="7" spans="1:11" x14ac:dyDescent="0.3">
      <c r="A7" s="6" t="s">
        <v>39</v>
      </c>
      <c r="B7" s="6">
        <f>COUNTIF(Listado!$B$2:$B$416,$A7)</f>
        <v>146</v>
      </c>
      <c r="C7" s="6">
        <f>COUNTIFS(Listado!$B$2:$B$416,$A7,Listado!$L$2:$L$416,"&lt;&gt;")</f>
        <v>81</v>
      </c>
      <c r="D7" s="6">
        <f>COUNTIFS(Listado!$B$2:$B$416,$A7,Listado!$M$2:$M$416,"&lt;&gt;")</f>
        <v>28</v>
      </c>
      <c r="E7" s="6">
        <f>COUNTIFS(Listado!$B$2:$B$416,$A7,Listado!$N$2:$N$416,"&lt;&gt;")</f>
        <v>7</v>
      </c>
      <c r="F7" s="6">
        <f>COUNTIFS(Listado!$B$2:$B$416,$A7,Listado!$G$2:$G$416,"*avandería*")</f>
        <v>89</v>
      </c>
      <c r="G7" s="6">
        <f>COUNTIFS(Listado!$B$2:$B$416,$A7,Listado!$G$2:$G$416,"*intorería*")</f>
        <v>33</v>
      </c>
      <c r="H7" s="6">
        <f>COUNTIFS(Listado!$B$2:$B$416,$A7,Listado!$G$2:$G$416,"*lanchaduría*")</f>
        <v>23</v>
      </c>
      <c r="I7" s="6">
        <f>COUNTIFS(Listado!$B$2:$B$416,$A7,Listado!$G$2:$G$416,"No se sabe por el nombre")</f>
        <v>18</v>
      </c>
      <c r="J7" s="6">
        <f>COUNTIFS(Listado!$B$2:$B$416,$A7,Listado!$S$2:$S$416,"Sí")</f>
        <v>0</v>
      </c>
      <c r="K7" s="6">
        <f>COUNTIFS(Listado!$B$2:$B$416,$A7,Listado!$T$2:$T$416,"Le interesa")</f>
        <v>0</v>
      </c>
    </row>
    <row r="8" spans="1:11" x14ac:dyDescent="0.3">
      <c r="A8" s="6" t="s">
        <v>40</v>
      </c>
      <c r="B8" s="6">
        <f>COUNTIF(Listado!$B$2:$B$416,$A8)</f>
        <v>3</v>
      </c>
      <c r="C8" s="6">
        <f>COUNTIFS(Listado!$B$2:$B$416,$A8,Listado!$L$2:$L$416,"&lt;&gt;")</f>
        <v>3</v>
      </c>
      <c r="D8" s="6">
        <f>COUNTIFS(Listado!$B$2:$B$416,$A8,Listado!$M$2:$M$416,"&lt;&gt;")</f>
        <v>0</v>
      </c>
      <c r="E8" s="6">
        <f>COUNTIFS(Listado!$B$2:$B$416,$A8,Listado!$N$2:$N$416,"&lt;&gt;")</f>
        <v>0</v>
      </c>
      <c r="F8" s="6">
        <f>COUNTIFS(Listado!$B$2:$B$416,$A8,Listado!$G$2:$G$416,"*avandería*")</f>
        <v>3</v>
      </c>
      <c r="G8" s="6">
        <f>COUNTIFS(Listado!$B$2:$B$416,$A8,Listado!$G$2:$G$416,"*intorería*")</f>
        <v>0</v>
      </c>
      <c r="H8" s="6">
        <f>COUNTIFS(Listado!$B$2:$B$416,$A8,Listado!$G$2:$G$416,"*lanchaduría*")</f>
        <v>0</v>
      </c>
      <c r="I8" s="6">
        <f>COUNTIFS(Listado!$B$2:$B$416,$A8,Listado!$G$2:$G$416,"No se sabe por el nombre")</f>
        <v>0</v>
      </c>
      <c r="J8" s="6">
        <f>COUNTIFS(Listado!$B$2:$B$416,$A8,Listado!$S$2:$S$416,"Sí")</f>
        <v>0</v>
      </c>
      <c r="K8" s="6">
        <f>COUNTIFS(Listado!$B$2:$B$416,$A8,Listado!$T$2:$T$416,"Le interesa")</f>
        <v>0</v>
      </c>
    </row>
    <row r="9" spans="1:11" x14ac:dyDescent="0.3">
      <c r="A9" s="6" t="s">
        <v>41</v>
      </c>
      <c r="B9" s="6">
        <f>COUNTIF(Listado!$B$2:$B$416,$A9)</f>
        <v>62</v>
      </c>
      <c r="C9" s="6">
        <f>COUNTIFS(Listado!$B$2:$B$416,$A9,Listado!$L$2:$L$416,"&lt;&gt;")</f>
        <v>41</v>
      </c>
      <c r="D9" s="6">
        <f>COUNTIFS(Listado!$B$2:$B$416,$A9,Listado!$M$2:$M$416,"&lt;&gt;")</f>
        <v>1</v>
      </c>
      <c r="E9" s="6">
        <f>COUNTIFS(Listado!$B$2:$B$416,$A9,Listado!$N$2:$N$416,"&lt;&gt;")</f>
        <v>0</v>
      </c>
      <c r="F9" s="6">
        <f>COUNTIFS(Listado!$B$2:$B$416,$A9,Listado!$G$2:$G$416,"*avandería*")</f>
        <v>61</v>
      </c>
      <c r="G9" s="6">
        <f>COUNTIFS(Listado!$B$2:$B$416,$A9,Listado!$G$2:$G$416,"*intorería*")</f>
        <v>3</v>
      </c>
      <c r="H9" s="6">
        <f>COUNTIFS(Listado!$B$2:$B$416,$A9,Listado!$G$2:$G$416,"*lanchaduría*")</f>
        <v>3</v>
      </c>
      <c r="I9" s="6">
        <f>COUNTIFS(Listado!$B$2:$B$416,$A9,Listado!$G$2:$G$416,"No se sabe por el nombre")</f>
        <v>0</v>
      </c>
      <c r="J9" s="6">
        <f>COUNTIFS(Listado!$B$2:$B$416,$A9,Listado!$S$2:$S$416,"Sí")</f>
        <v>0</v>
      </c>
      <c r="K9" s="6">
        <f>COUNTIFS(Listado!$B$2:$B$416,$A9,Listado!$T$2:$T$416,"Le interesa")</f>
        <v>0</v>
      </c>
    </row>
    <row r="10" spans="1:11" x14ac:dyDescent="0.3">
      <c r="A10" s="7" t="s">
        <v>42</v>
      </c>
      <c r="B10" s="7">
        <f t="shared" ref="B10:K10" si="0">SUM(B5:B9)</f>
        <v>415</v>
      </c>
      <c r="C10" s="7">
        <f t="shared" si="0"/>
        <v>230</v>
      </c>
      <c r="D10" s="7">
        <f t="shared" si="0"/>
        <v>51</v>
      </c>
      <c r="E10" s="7">
        <f t="shared" si="0"/>
        <v>11</v>
      </c>
      <c r="F10" s="7">
        <f t="shared" si="0"/>
        <v>317</v>
      </c>
      <c r="G10" s="7">
        <f t="shared" si="0"/>
        <v>55</v>
      </c>
      <c r="H10" s="7">
        <f t="shared" si="0"/>
        <v>67</v>
      </c>
      <c r="I10" s="7">
        <f t="shared" si="0"/>
        <v>29</v>
      </c>
      <c r="J10" s="7">
        <f t="shared" si="0"/>
        <v>0</v>
      </c>
      <c r="K10" s="7">
        <f t="shared" si="0"/>
        <v>0</v>
      </c>
    </row>
    <row r="12" spans="1:11" x14ac:dyDescent="0.3">
      <c r="A12" s="8" t="s">
        <v>43</v>
      </c>
    </row>
    <row r="13" spans="1:11" x14ac:dyDescent="0.3">
      <c r="A13" s="9" t="s">
        <v>44</v>
      </c>
    </row>
    <row r="14" spans="1:11" x14ac:dyDescent="0.3">
      <c r="A14" s="9" t="s">
        <v>45</v>
      </c>
    </row>
    <row r="15" spans="1:11" x14ac:dyDescent="0.3">
      <c r="A15" s="9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26" customWidth="1"/>
    <col min="3" max="3" width="12" customWidth="1"/>
    <col min="4" max="4" width="14" customWidth="1"/>
  </cols>
  <sheetData>
    <row r="1" spans="1:4" ht="21" x14ac:dyDescent="0.4">
      <c r="A1" s="1" t="s">
        <v>47</v>
      </c>
    </row>
    <row r="2" spans="1:4" x14ac:dyDescent="0.3">
      <c r="A2" s="2" t="s">
        <v>48</v>
      </c>
    </row>
    <row r="4" spans="1:4" x14ac:dyDescent="0.3">
      <c r="A4" s="5" t="s">
        <v>26</v>
      </c>
      <c r="B4" s="5" t="s">
        <v>49</v>
      </c>
      <c r="C4" s="5" t="s">
        <v>27</v>
      </c>
      <c r="D4" s="5" t="s">
        <v>28</v>
      </c>
    </row>
    <row r="5" spans="1:4" x14ac:dyDescent="0.3">
      <c r="A5" s="10" t="s">
        <v>37</v>
      </c>
      <c r="B5" s="10" t="s">
        <v>50</v>
      </c>
      <c r="C5" s="10">
        <f>COUNTIF(Listado!$C$2:$C$416,$B5)</f>
        <v>152</v>
      </c>
      <c r="D5" s="10">
        <f>COUNTIFS(Listado!$C$2:$C$416,$B5,Listado!$L$2:$L$416,"&lt;&gt;")</f>
        <v>78</v>
      </c>
    </row>
    <row r="6" spans="1:4" x14ac:dyDescent="0.3">
      <c r="A6" s="10" t="s">
        <v>38</v>
      </c>
      <c r="B6" s="10" t="s">
        <v>51</v>
      </c>
      <c r="C6" s="10">
        <f>COUNTIF(Listado!$C$2:$C$416,$B6)</f>
        <v>41</v>
      </c>
      <c r="D6" s="10">
        <f>COUNTIFS(Listado!$C$2:$C$416,$B6,Listado!$L$2:$L$416,"&lt;&gt;")</f>
        <v>19</v>
      </c>
    </row>
    <row r="7" spans="1:4" x14ac:dyDescent="0.3">
      <c r="A7" s="10" t="s">
        <v>38</v>
      </c>
      <c r="B7" s="10" t="s">
        <v>52</v>
      </c>
      <c r="C7" s="10">
        <f>COUNTIF(Listado!$C$2:$C$416,$B7)</f>
        <v>11</v>
      </c>
      <c r="D7" s="10">
        <f>COUNTIFS(Listado!$C$2:$C$416,$B7,Listado!$L$2:$L$416,"&lt;&gt;")</f>
        <v>8</v>
      </c>
    </row>
    <row r="8" spans="1:4" x14ac:dyDescent="0.3">
      <c r="A8" s="10" t="s">
        <v>39</v>
      </c>
      <c r="B8" s="10" t="s">
        <v>39</v>
      </c>
      <c r="C8" s="10">
        <f>COUNTIF(Listado!$C$2:$C$416,$B8)</f>
        <v>146</v>
      </c>
      <c r="D8" s="10">
        <f>COUNTIFS(Listado!$C$2:$C$416,$B8,Listado!$L$2:$L$416,"&lt;&gt;")</f>
        <v>81</v>
      </c>
    </row>
    <row r="9" spans="1:4" x14ac:dyDescent="0.3">
      <c r="A9" s="10" t="s">
        <v>40</v>
      </c>
      <c r="B9" s="10" t="s">
        <v>40</v>
      </c>
      <c r="C9" s="10">
        <f>COUNTIF(Listado!$C$2:$C$416,$B9)</f>
        <v>3</v>
      </c>
      <c r="D9" s="10">
        <f>COUNTIFS(Listado!$C$2:$C$416,$B9,Listado!$L$2:$L$416,"&lt;&gt;")</f>
        <v>3</v>
      </c>
    </row>
    <row r="10" spans="1:4" x14ac:dyDescent="0.3">
      <c r="A10" s="10" t="s">
        <v>41</v>
      </c>
      <c r="B10" s="10" t="s">
        <v>53</v>
      </c>
      <c r="C10" s="10">
        <f>COUNTIF(Listado!$C$2:$C$416,$B10)</f>
        <v>10</v>
      </c>
      <c r="D10" s="10">
        <f>COUNTIFS(Listado!$C$2:$C$416,$B10,Listado!$L$2:$L$416,"&lt;&gt;")</f>
        <v>7</v>
      </c>
    </row>
    <row r="11" spans="1:4" x14ac:dyDescent="0.3">
      <c r="A11" s="10" t="s">
        <v>41</v>
      </c>
      <c r="B11" s="10" t="s">
        <v>54</v>
      </c>
      <c r="C11" s="10">
        <f>COUNTIF(Listado!$C$2:$C$416,$B11)</f>
        <v>6</v>
      </c>
      <c r="D11" s="10">
        <f>COUNTIFS(Listado!$C$2:$C$416,$B11,Listado!$L$2:$L$416,"&lt;&gt;")</f>
        <v>3</v>
      </c>
    </row>
    <row r="12" spans="1:4" x14ac:dyDescent="0.3">
      <c r="A12" s="10" t="s">
        <v>41</v>
      </c>
      <c r="B12" s="10" t="s">
        <v>55</v>
      </c>
      <c r="C12" s="10">
        <f>COUNTIF(Listado!$C$2:$C$416,$B12)</f>
        <v>5</v>
      </c>
      <c r="D12" s="10">
        <f>COUNTIFS(Listado!$C$2:$C$416,$B12,Listado!$L$2:$L$416,"&lt;&gt;")</f>
        <v>3</v>
      </c>
    </row>
    <row r="13" spans="1:4" x14ac:dyDescent="0.3">
      <c r="A13" s="10" t="s">
        <v>41</v>
      </c>
      <c r="B13" s="10" t="s">
        <v>56</v>
      </c>
      <c r="C13" s="10">
        <f>COUNTIF(Listado!$C$2:$C$416,$B13)</f>
        <v>5</v>
      </c>
      <c r="D13" s="10">
        <f>COUNTIFS(Listado!$C$2:$C$416,$B13,Listado!$L$2:$L$416,"&lt;&gt;")</f>
        <v>4</v>
      </c>
    </row>
    <row r="14" spans="1:4" x14ac:dyDescent="0.3">
      <c r="A14" s="10" t="s">
        <v>41</v>
      </c>
      <c r="B14" s="10" t="s">
        <v>57</v>
      </c>
      <c r="C14" s="10">
        <f>COUNTIF(Listado!$C$2:$C$416,$B14)</f>
        <v>4</v>
      </c>
      <c r="D14" s="10">
        <f>COUNTIFS(Listado!$C$2:$C$416,$B14,Listado!$L$2:$L$416,"&lt;&gt;")</f>
        <v>3</v>
      </c>
    </row>
    <row r="15" spans="1:4" x14ac:dyDescent="0.3">
      <c r="A15" s="10" t="s">
        <v>41</v>
      </c>
      <c r="B15" s="10" t="s">
        <v>58</v>
      </c>
      <c r="C15" s="10">
        <f>COUNTIF(Listado!$C$2:$C$416,$B15)</f>
        <v>3</v>
      </c>
      <c r="D15" s="10">
        <f>COUNTIFS(Listado!$C$2:$C$416,$B15,Listado!$L$2:$L$416,"&lt;&gt;")</f>
        <v>1</v>
      </c>
    </row>
    <row r="16" spans="1:4" x14ac:dyDescent="0.3">
      <c r="A16" s="10" t="s">
        <v>41</v>
      </c>
      <c r="B16" s="10" t="s">
        <v>59</v>
      </c>
      <c r="C16" s="10">
        <f>COUNTIF(Listado!$C$2:$C$416,$B16)</f>
        <v>3</v>
      </c>
      <c r="D16" s="10">
        <f>COUNTIFS(Listado!$C$2:$C$416,$B16,Listado!$L$2:$L$416,"&lt;&gt;")</f>
        <v>2</v>
      </c>
    </row>
    <row r="17" spans="1:4" x14ac:dyDescent="0.3">
      <c r="A17" s="10" t="s">
        <v>41</v>
      </c>
      <c r="B17" s="10" t="s">
        <v>60</v>
      </c>
      <c r="C17" s="10">
        <f>COUNTIF(Listado!$C$2:$C$416,$B17)</f>
        <v>3</v>
      </c>
      <c r="D17" s="10">
        <f>COUNTIFS(Listado!$C$2:$C$416,$B17,Listado!$L$2:$L$416,"&lt;&gt;")</f>
        <v>3</v>
      </c>
    </row>
    <row r="18" spans="1:4" x14ac:dyDescent="0.3">
      <c r="A18" s="10" t="s">
        <v>41</v>
      </c>
      <c r="B18" s="10" t="s">
        <v>61</v>
      </c>
      <c r="C18" s="10">
        <f>COUNTIF(Listado!$C$2:$C$416,$B18)</f>
        <v>3</v>
      </c>
      <c r="D18" s="10">
        <f>COUNTIFS(Listado!$C$2:$C$416,$B18,Listado!$L$2:$L$416,"&lt;&gt;")</f>
        <v>2</v>
      </c>
    </row>
    <row r="19" spans="1:4" x14ac:dyDescent="0.3">
      <c r="A19" s="10" t="s">
        <v>41</v>
      </c>
      <c r="B19" s="10" t="s">
        <v>62</v>
      </c>
      <c r="C19" s="10">
        <f>COUNTIF(Listado!$C$2:$C$416,$B19)</f>
        <v>2</v>
      </c>
      <c r="D19" s="10">
        <f>COUNTIFS(Listado!$C$2:$C$416,$B19,Listado!$L$2:$L$416,"&lt;&gt;")</f>
        <v>1</v>
      </c>
    </row>
    <row r="20" spans="1:4" x14ac:dyDescent="0.3">
      <c r="A20" s="10" t="s">
        <v>41</v>
      </c>
      <c r="B20" s="10" t="s">
        <v>63</v>
      </c>
      <c r="C20" s="10">
        <f>COUNTIF(Listado!$C$2:$C$416,$B20)</f>
        <v>2</v>
      </c>
      <c r="D20" s="10">
        <f>COUNTIFS(Listado!$C$2:$C$416,$B20,Listado!$L$2:$L$416,"&lt;&gt;")</f>
        <v>2</v>
      </c>
    </row>
    <row r="21" spans="1:4" x14ac:dyDescent="0.3">
      <c r="A21" s="10" t="s">
        <v>41</v>
      </c>
      <c r="B21" s="10" t="s">
        <v>64</v>
      </c>
      <c r="C21" s="10">
        <f>COUNTIF(Listado!$C$2:$C$416,$B21)</f>
        <v>2</v>
      </c>
      <c r="D21" s="10">
        <f>COUNTIFS(Listado!$C$2:$C$416,$B21,Listado!$L$2:$L$416,"&lt;&gt;")</f>
        <v>2</v>
      </c>
    </row>
    <row r="22" spans="1:4" x14ac:dyDescent="0.3">
      <c r="A22" s="10" t="s">
        <v>41</v>
      </c>
      <c r="B22" s="10" t="s">
        <v>65</v>
      </c>
      <c r="C22" s="10">
        <f>COUNTIF(Listado!$C$2:$C$416,$B22)</f>
        <v>2</v>
      </c>
      <c r="D22" s="10">
        <f>COUNTIFS(Listado!$C$2:$C$416,$B22,Listado!$L$2:$L$416,"&lt;&gt;")</f>
        <v>2</v>
      </c>
    </row>
    <row r="23" spans="1:4" x14ac:dyDescent="0.3">
      <c r="A23" s="10" t="s">
        <v>41</v>
      </c>
      <c r="B23" s="10" t="s">
        <v>66</v>
      </c>
      <c r="C23" s="10">
        <f>COUNTIF(Listado!$C$2:$C$416,$B23)</f>
        <v>2</v>
      </c>
      <c r="D23" s="10">
        <f>COUNTIFS(Listado!$C$2:$C$416,$B23,Listado!$L$2:$L$416,"&lt;&gt;")</f>
        <v>2</v>
      </c>
    </row>
    <row r="24" spans="1:4" x14ac:dyDescent="0.3">
      <c r="A24" s="10" t="s">
        <v>41</v>
      </c>
      <c r="B24" s="10" t="s">
        <v>67</v>
      </c>
      <c r="C24" s="10">
        <f>COUNTIF(Listado!$C$2:$C$416,$B24)</f>
        <v>2</v>
      </c>
      <c r="D24" s="10">
        <f>COUNTIFS(Listado!$C$2:$C$416,$B24,Listado!$L$2:$L$416,"&lt;&gt;")</f>
        <v>1</v>
      </c>
    </row>
    <row r="25" spans="1:4" x14ac:dyDescent="0.3">
      <c r="A25" s="10" t="s">
        <v>41</v>
      </c>
      <c r="B25" s="10" t="s">
        <v>68</v>
      </c>
      <c r="C25" s="10">
        <f>COUNTIF(Listado!$C$2:$C$416,$B25)</f>
        <v>2</v>
      </c>
      <c r="D25" s="10">
        <f>COUNTIFS(Listado!$C$2:$C$416,$B25,Listado!$L$2:$L$416,"&lt;&gt;")</f>
        <v>0</v>
      </c>
    </row>
    <row r="26" spans="1:4" x14ac:dyDescent="0.3">
      <c r="A26" s="10" t="s">
        <v>41</v>
      </c>
      <c r="B26" s="10" t="s">
        <v>69</v>
      </c>
      <c r="C26" s="10">
        <f>COUNTIF(Listado!$C$2:$C$416,$B26)</f>
        <v>1</v>
      </c>
      <c r="D26" s="10">
        <f>COUNTIFS(Listado!$C$2:$C$416,$B26,Listado!$L$2:$L$416,"&lt;&gt;")</f>
        <v>0</v>
      </c>
    </row>
    <row r="27" spans="1:4" x14ac:dyDescent="0.3">
      <c r="A27" s="10" t="s">
        <v>41</v>
      </c>
      <c r="B27" s="10" t="s">
        <v>70</v>
      </c>
      <c r="C27" s="10">
        <f>COUNTIF(Listado!$C$2:$C$416,$B27)</f>
        <v>1</v>
      </c>
      <c r="D27" s="10">
        <f>COUNTIFS(Listado!$C$2:$C$416,$B27,Listado!$L$2:$L$416,"&lt;&gt;")</f>
        <v>1</v>
      </c>
    </row>
    <row r="28" spans="1:4" x14ac:dyDescent="0.3">
      <c r="A28" s="10" t="s">
        <v>41</v>
      </c>
      <c r="B28" s="10" t="s">
        <v>71</v>
      </c>
      <c r="C28" s="10">
        <f>COUNTIF(Listado!$C$2:$C$416,$B28)</f>
        <v>1</v>
      </c>
      <c r="D28" s="10">
        <f>COUNTIFS(Listado!$C$2:$C$416,$B28,Listado!$L$2:$L$416,"&lt;&gt;")</f>
        <v>0</v>
      </c>
    </row>
    <row r="29" spans="1:4" x14ac:dyDescent="0.3">
      <c r="A29" s="10" t="s">
        <v>41</v>
      </c>
      <c r="B29" s="10" t="s">
        <v>72</v>
      </c>
      <c r="C29" s="10">
        <f>COUNTIF(Listado!$C$2:$C$416,$B29)</f>
        <v>1</v>
      </c>
      <c r="D29" s="10">
        <f>COUNTIFS(Listado!$C$2:$C$416,$B29,Listado!$L$2:$L$416,"&lt;&gt;")</f>
        <v>0</v>
      </c>
    </row>
    <row r="30" spans="1:4" x14ac:dyDescent="0.3">
      <c r="A30" s="10" t="s">
        <v>41</v>
      </c>
      <c r="B30" s="10" t="s">
        <v>73</v>
      </c>
      <c r="C30" s="10">
        <f>COUNTIF(Listado!$C$2:$C$416,$B30)</f>
        <v>1</v>
      </c>
      <c r="D30" s="10">
        <f>COUNTIFS(Listado!$C$2:$C$416,$B30,Listado!$L$2:$L$416,"&lt;&gt;")</f>
        <v>1</v>
      </c>
    </row>
    <row r="31" spans="1:4" x14ac:dyDescent="0.3">
      <c r="A31" s="10" t="s">
        <v>41</v>
      </c>
      <c r="B31" s="10" t="s">
        <v>74</v>
      </c>
      <c r="C31" s="10">
        <f>COUNTIF(Listado!$C$2:$C$416,$B31)</f>
        <v>1</v>
      </c>
      <c r="D31" s="10">
        <f>COUNTIFS(Listado!$C$2:$C$416,$B31,Listado!$L$2:$L$416,"&lt;&gt;")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6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22" customWidth="1"/>
    <col min="3" max="3" width="18" customWidth="1"/>
    <col min="4" max="4" width="20" customWidth="1"/>
    <col min="5" max="5" width="34" customWidth="1"/>
    <col min="6" max="6" width="28" customWidth="1"/>
    <col min="7" max="7" width="22" customWidth="1"/>
    <col min="8" max="8" width="14" customWidth="1"/>
    <col min="9" max="9" width="36" customWidth="1"/>
    <col min="10" max="10" width="28" customWidth="1"/>
    <col min="11" max="11" width="10" customWidth="1"/>
    <col min="12" max="12" width="15" customWidth="1"/>
    <col min="13" max="14" width="28" customWidth="1"/>
    <col min="15" max="15" width="14" customWidth="1"/>
    <col min="16" max="17" width="11" customWidth="1"/>
    <col min="18" max="19" width="12" customWidth="1"/>
    <col min="20" max="20" width="22" customWidth="1"/>
    <col min="21" max="21" width="40" customWidth="1"/>
  </cols>
  <sheetData>
    <row r="1" spans="1:21" ht="31.95" customHeight="1" x14ac:dyDescent="0.3">
      <c r="A1" s="5" t="s">
        <v>75</v>
      </c>
      <c r="B1" s="5" t="s">
        <v>26</v>
      </c>
      <c r="C1" s="5" t="s">
        <v>49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5" t="s">
        <v>93</v>
      </c>
    </row>
    <row r="2" spans="1:21" x14ac:dyDescent="0.3">
      <c r="A2" s="9">
        <v>1</v>
      </c>
      <c r="B2" s="9" t="s">
        <v>37</v>
      </c>
      <c r="C2" s="9" t="s">
        <v>50</v>
      </c>
      <c r="D2" s="9" t="s">
        <v>94</v>
      </c>
      <c r="E2" s="9" t="s">
        <v>95</v>
      </c>
      <c r="F2" s="9"/>
      <c r="G2" s="9" t="s">
        <v>96</v>
      </c>
      <c r="H2" s="9" t="s">
        <v>97</v>
      </c>
      <c r="I2" s="9" t="s">
        <v>98</v>
      </c>
      <c r="J2" s="9" t="s">
        <v>99</v>
      </c>
      <c r="K2" s="9" t="s">
        <v>100</v>
      </c>
      <c r="L2" s="9"/>
      <c r="M2" s="9"/>
      <c r="N2" s="9"/>
      <c r="O2" s="11" t="s">
        <v>101</v>
      </c>
      <c r="P2" s="12">
        <v>24.003157089999998</v>
      </c>
      <c r="Q2" s="12">
        <v>-104.63794414</v>
      </c>
      <c r="R2" s="9" t="s">
        <v>102</v>
      </c>
      <c r="S2" s="13"/>
      <c r="T2" s="13"/>
      <c r="U2" s="13"/>
    </row>
    <row r="3" spans="1:21" x14ac:dyDescent="0.3">
      <c r="A3" s="9">
        <v>2</v>
      </c>
      <c r="B3" s="9" t="s">
        <v>37</v>
      </c>
      <c r="C3" s="9" t="s">
        <v>50</v>
      </c>
      <c r="D3" s="9" t="s">
        <v>94</v>
      </c>
      <c r="E3" s="9" t="s">
        <v>103</v>
      </c>
      <c r="F3" s="9"/>
      <c r="G3" s="9" t="s">
        <v>104</v>
      </c>
      <c r="H3" s="9" t="s">
        <v>97</v>
      </c>
      <c r="I3" s="9" t="s">
        <v>105</v>
      </c>
      <c r="J3" s="9" t="s">
        <v>106</v>
      </c>
      <c r="K3" s="9" t="s">
        <v>107</v>
      </c>
      <c r="L3" s="9"/>
      <c r="M3" s="9"/>
      <c r="N3" s="9"/>
      <c r="O3" s="11" t="s">
        <v>101</v>
      </c>
      <c r="P3" s="12">
        <v>23.996394259999999</v>
      </c>
      <c r="Q3" s="12">
        <v>-104.66901784</v>
      </c>
      <c r="R3" s="9" t="s">
        <v>108</v>
      </c>
      <c r="S3" s="13"/>
      <c r="T3" s="13"/>
      <c r="U3" s="13"/>
    </row>
    <row r="4" spans="1:21" x14ac:dyDescent="0.3">
      <c r="A4" s="9">
        <v>3</v>
      </c>
      <c r="B4" s="9" t="s">
        <v>37</v>
      </c>
      <c r="C4" s="9" t="s">
        <v>50</v>
      </c>
      <c r="D4" s="9" t="s">
        <v>94</v>
      </c>
      <c r="E4" s="9" t="s">
        <v>109</v>
      </c>
      <c r="F4" s="9"/>
      <c r="G4" s="9" t="s">
        <v>104</v>
      </c>
      <c r="H4" s="9" t="s">
        <v>97</v>
      </c>
      <c r="I4" s="9" t="s">
        <v>110</v>
      </c>
      <c r="J4" s="9" t="s">
        <v>111</v>
      </c>
      <c r="K4" s="9" t="s">
        <v>112</v>
      </c>
      <c r="L4" s="9" t="s">
        <v>113</v>
      </c>
      <c r="M4" s="9"/>
      <c r="N4" s="9"/>
      <c r="O4" s="11" t="s">
        <v>101</v>
      </c>
      <c r="P4" s="12">
        <v>24.006770660000001</v>
      </c>
      <c r="Q4" s="12">
        <v>-104.65478468000001</v>
      </c>
      <c r="R4" s="9" t="s">
        <v>114</v>
      </c>
      <c r="S4" s="13"/>
      <c r="T4" s="13"/>
      <c r="U4" s="13"/>
    </row>
    <row r="5" spans="1:21" x14ac:dyDescent="0.3">
      <c r="A5" s="9">
        <v>4</v>
      </c>
      <c r="B5" s="9" t="s">
        <v>37</v>
      </c>
      <c r="C5" s="9" t="s">
        <v>50</v>
      </c>
      <c r="D5" s="9" t="s">
        <v>94</v>
      </c>
      <c r="E5" s="9" t="s">
        <v>115</v>
      </c>
      <c r="F5" s="9"/>
      <c r="G5" s="9" t="s">
        <v>116</v>
      </c>
      <c r="H5" s="9" t="s">
        <v>97</v>
      </c>
      <c r="I5" s="9" t="s">
        <v>117</v>
      </c>
      <c r="J5" s="9" t="s">
        <v>118</v>
      </c>
      <c r="K5" s="9" t="s">
        <v>119</v>
      </c>
      <c r="L5" s="9" t="s">
        <v>120</v>
      </c>
      <c r="M5" s="9" t="s">
        <v>121</v>
      </c>
      <c r="N5" s="9"/>
      <c r="O5" s="11" t="s">
        <v>101</v>
      </c>
      <c r="P5" s="12">
        <v>24.026446790000001</v>
      </c>
      <c r="Q5" s="12">
        <v>-104.64928561000001</v>
      </c>
      <c r="R5" s="9" t="s">
        <v>122</v>
      </c>
      <c r="S5" s="13"/>
      <c r="T5" s="13"/>
      <c r="U5" s="13"/>
    </row>
    <row r="6" spans="1:21" x14ac:dyDescent="0.3">
      <c r="A6" s="9">
        <v>5</v>
      </c>
      <c r="B6" s="9" t="s">
        <v>37</v>
      </c>
      <c r="C6" s="9" t="s">
        <v>50</v>
      </c>
      <c r="D6" s="9" t="s">
        <v>94</v>
      </c>
      <c r="E6" s="9" t="s">
        <v>123</v>
      </c>
      <c r="F6" s="9"/>
      <c r="G6" s="9" t="s">
        <v>34</v>
      </c>
      <c r="H6" s="9" t="s">
        <v>97</v>
      </c>
      <c r="I6" s="9" t="s">
        <v>124</v>
      </c>
      <c r="J6" s="9" t="s">
        <v>99</v>
      </c>
      <c r="K6" s="9" t="s">
        <v>100</v>
      </c>
      <c r="L6" s="9"/>
      <c r="M6" s="9"/>
      <c r="N6" s="9"/>
      <c r="O6" s="11" t="s">
        <v>101</v>
      </c>
      <c r="P6" s="12">
        <v>24.000495000000001</v>
      </c>
      <c r="Q6" s="12">
        <v>-104.64061478000001</v>
      </c>
      <c r="R6" s="9" t="s">
        <v>125</v>
      </c>
      <c r="S6" s="13"/>
      <c r="T6" s="13"/>
      <c r="U6" s="13"/>
    </row>
    <row r="7" spans="1:21" x14ac:dyDescent="0.3">
      <c r="A7" s="9">
        <v>6</v>
      </c>
      <c r="B7" s="9" t="s">
        <v>37</v>
      </c>
      <c r="C7" s="9" t="s">
        <v>50</v>
      </c>
      <c r="D7" s="9" t="s">
        <v>94</v>
      </c>
      <c r="E7" s="9" t="s">
        <v>126</v>
      </c>
      <c r="F7" s="9"/>
      <c r="G7" s="9" t="s">
        <v>34</v>
      </c>
      <c r="H7" s="9" t="s">
        <v>97</v>
      </c>
      <c r="I7" s="9" t="s">
        <v>127</v>
      </c>
      <c r="J7" s="9" t="s">
        <v>128</v>
      </c>
      <c r="K7" s="9" t="s">
        <v>129</v>
      </c>
      <c r="L7" s="9"/>
      <c r="M7" s="9"/>
      <c r="N7" s="9"/>
      <c r="O7" s="11" t="s">
        <v>101</v>
      </c>
      <c r="P7" s="12">
        <v>24.0468929</v>
      </c>
      <c r="Q7" s="12">
        <v>-104.61904692</v>
      </c>
      <c r="R7" s="9" t="s">
        <v>130</v>
      </c>
      <c r="S7" s="13"/>
      <c r="T7" s="13"/>
      <c r="U7" s="13"/>
    </row>
    <row r="8" spans="1:21" x14ac:dyDescent="0.3">
      <c r="A8" s="9">
        <v>7</v>
      </c>
      <c r="B8" s="9" t="s">
        <v>37</v>
      </c>
      <c r="C8" s="9" t="s">
        <v>50</v>
      </c>
      <c r="D8" s="9" t="s">
        <v>94</v>
      </c>
      <c r="E8" s="9" t="s">
        <v>131</v>
      </c>
      <c r="F8" s="9" t="s">
        <v>132</v>
      </c>
      <c r="G8" s="9" t="s">
        <v>34</v>
      </c>
      <c r="H8" s="9" t="s">
        <v>97</v>
      </c>
      <c r="I8" s="9" t="s">
        <v>133</v>
      </c>
      <c r="J8" s="9" t="s">
        <v>134</v>
      </c>
      <c r="K8" s="9" t="s">
        <v>135</v>
      </c>
      <c r="L8" s="9"/>
      <c r="M8" s="9"/>
      <c r="N8" s="9"/>
      <c r="O8" s="11" t="s">
        <v>101</v>
      </c>
      <c r="P8" s="12">
        <v>24.033498099999999</v>
      </c>
      <c r="Q8" s="12">
        <v>-104.6397157</v>
      </c>
      <c r="R8" s="9" t="s">
        <v>136</v>
      </c>
      <c r="S8" s="13"/>
      <c r="T8" s="13"/>
      <c r="U8" s="13"/>
    </row>
    <row r="9" spans="1:21" x14ac:dyDescent="0.3">
      <c r="A9" s="9">
        <v>8</v>
      </c>
      <c r="B9" s="9" t="s">
        <v>37</v>
      </c>
      <c r="C9" s="9" t="s">
        <v>50</v>
      </c>
      <c r="D9" s="9" t="s">
        <v>94</v>
      </c>
      <c r="E9" s="9" t="s">
        <v>137</v>
      </c>
      <c r="F9" s="9"/>
      <c r="G9" s="9" t="s">
        <v>104</v>
      </c>
      <c r="H9" s="9" t="s">
        <v>97</v>
      </c>
      <c r="I9" s="9" t="s">
        <v>138</v>
      </c>
      <c r="J9" s="9" t="s">
        <v>139</v>
      </c>
      <c r="K9" s="9" t="s">
        <v>140</v>
      </c>
      <c r="L9" s="9"/>
      <c r="M9" s="9" t="s">
        <v>141</v>
      </c>
      <c r="N9" s="9"/>
      <c r="O9" s="11" t="s">
        <v>101</v>
      </c>
      <c r="P9" s="12">
        <v>24.01432806</v>
      </c>
      <c r="Q9" s="12">
        <v>-104.69055428</v>
      </c>
      <c r="R9" s="9" t="s">
        <v>142</v>
      </c>
      <c r="S9" s="13"/>
      <c r="T9" s="13"/>
      <c r="U9" s="13"/>
    </row>
    <row r="10" spans="1:21" x14ac:dyDescent="0.3">
      <c r="A10" s="9">
        <v>9</v>
      </c>
      <c r="B10" s="9" t="s">
        <v>37</v>
      </c>
      <c r="C10" s="9" t="s">
        <v>50</v>
      </c>
      <c r="D10" s="9" t="s">
        <v>143</v>
      </c>
      <c r="E10" s="9" t="s">
        <v>144</v>
      </c>
      <c r="F10" s="9"/>
      <c r="G10" s="9" t="s">
        <v>104</v>
      </c>
      <c r="H10" s="9" t="s">
        <v>97</v>
      </c>
      <c r="I10" s="9" t="s">
        <v>145</v>
      </c>
      <c r="J10" s="9" t="s">
        <v>146</v>
      </c>
      <c r="K10" s="9" t="s">
        <v>147</v>
      </c>
      <c r="L10" s="9"/>
      <c r="M10" s="9"/>
      <c r="N10" s="9"/>
      <c r="O10" s="11" t="s">
        <v>101</v>
      </c>
      <c r="P10" s="12">
        <v>24.09865529</v>
      </c>
      <c r="Q10" s="12">
        <v>-104.57596943999999</v>
      </c>
      <c r="R10" s="9" t="s">
        <v>148</v>
      </c>
      <c r="S10" s="13"/>
      <c r="T10" s="13"/>
      <c r="U10" s="13"/>
    </row>
    <row r="11" spans="1:21" x14ac:dyDescent="0.3">
      <c r="A11" s="9">
        <v>10</v>
      </c>
      <c r="B11" s="9" t="s">
        <v>37</v>
      </c>
      <c r="C11" s="9" t="s">
        <v>50</v>
      </c>
      <c r="D11" s="9" t="s">
        <v>94</v>
      </c>
      <c r="E11" s="9" t="s">
        <v>149</v>
      </c>
      <c r="F11" s="9"/>
      <c r="G11" s="9" t="s">
        <v>104</v>
      </c>
      <c r="H11" s="9" t="s">
        <v>97</v>
      </c>
      <c r="I11" s="9" t="s">
        <v>150</v>
      </c>
      <c r="J11" s="9" t="s">
        <v>151</v>
      </c>
      <c r="K11" s="9" t="s">
        <v>152</v>
      </c>
      <c r="L11" s="9" t="s">
        <v>153</v>
      </c>
      <c r="M11" s="9"/>
      <c r="N11" s="9" t="s">
        <v>154</v>
      </c>
      <c r="O11" s="11" t="s">
        <v>101</v>
      </c>
      <c r="P11" s="12">
        <v>24.006144240000001</v>
      </c>
      <c r="Q11" s="12">
        <v>-104.6574159</v>
      </c>
      <c r="R11" s="9" t="s">
        <v>155</v>
      </c>
      <c r="S11" s="13"/>
      <c r="T11" s="13"/>
      <c r="U11" s="13"/>
    </row>
    <row r="12" spans="1:21" x14ac:dyDescent="0.3">
      <c r="A12" s="9">
        <v>11</v>
      </c>
      <c r="B12" s="9" t="s">
        <v>37</v>
      </c>
      <c r="C12" s="9" t="s">
        <v>50</v>
      </c>
      <c r="D12" s="9" t="s">
        <v>94</v>
      </c>
      <c r="E12" s="9" t="s">
        <v>156</v>
      </c>
      <c r="F12" s="9"/>
      <c r="G12" s="9" t="s">
        <v>104</v>
      </c>
      <c r="H12" s="9" t="s">
        <v>97</v>
      </c>
      <c r="I12" s="9" t="s">
        <v>157</v>
      </c>
      <c r="J12" s="9" t="s">
        <v>158</v>
      </c>
      <c r="K12" s="9" t="s">
        <v>159</v>
      </c>
      <c r="L12" s="9" t="s">
        <v>153</v>
      </c>
      <c r="M12" s="9"/>
      <c r="N12" s="9" t="s">
        <v>154</v>
      </c>
      <c r="O12" s="11" t="s">
        <v>101</v>
      </c>
      <c r="P12" s="12">
        <v>24.03139217</v>
      </c>
      <c r="Q12" s="12">
        <v>-104.62424634</v>
      </c>
      <c r="R12" s="9" t="s">
        <v>160</v>
      </c>
      <c r="S12" s="13"/>
      <c r="T12" s="13"/>
      <c r="U12" s="13"/>
    </row>
    <row r="13" spans="1:21" x14ac:dyDescent="0.3">
      <c r="A13" s="9">
        <v>12</v>
      </c>
      <c r="B13" s="9" t="s">
        <v>37</v>
      </c>
      <c r="C13" s="9" t="s">
        <v>50</v>
      </c>
      <c r="D13" s="9" t="s">
        <v>94</v>
      </c>
      <c r="E13" s="9" t="s">
        <v>156</v>
      </c>
      <c r="F13" s="9"/>
      <c r="G13" s="9" t="s">
        <v>104</v>
      </c>
      <c r="H13" s="9" t="s">
        <v>97</v>
      </c>
      <c r="I13" s="9" t="s">
        <v>161</v>
      </c>
      <c r="J13" s="9" t="s">
        <v>162</v>
      </c>
      <c r="K13" s="9" t="s">
        <v>107</v>
      </c>
      <c r="L13" s="9"/>
      <c r="M13" s="9" t="s">
        <v>163</v>
      </c>
      <c r="N13" s="9" t="s">
        <v>154</v>
      </c>
      <c r="O13" s="11" t="s">
        <v>101</v>
      </c>
      <c r="P13" s="12">
        <v>24.01044675</v>
      </c>
      <c r="Q13" s="12">
        <v>-104.69064634</v>
      </c>
      <c r="R13" s="9" t="s">
        <v>164</v>
      </c>
      <c r="S13" s="13"/>
      <c r="T13" s="13"/>
      <c r="U13" s="13"/>
    </row>
    <row r="14" spans="1:21" x14ac:dyDescent="0.3">
      <c r="A14" s="9">
        <v>13</v>
      </c>
      <c r="B14" s="9" t="s">
        <v>37</v>
      </c>
      <c r="C14" s="9" t="s">
        <v>50</v>
      </c>
      <c r="D14" s="9" t="s">
        <v>94</v>
      </c>
      <c r="E14" s="9" t="s">
        <v>165</v>
      </c>
      <c r="F14" s="9"/>
      <c r="G14" s="9" t="s">
        <v>104</v>
      </c>
      <c r="H14" s="9" t="s">
        <v>97</v>
      </c>
      <c r="I14" s="9" t="s">
        <v>166</v>
      </c>
      <c r="J14" s="9" t="s">
        <v>111</v>
      </c>
      <c r="K14" s="9" t="s">
        <v>112</v>
      </c>
      <c r="L14" s="9" t="s">
        <v>167</v>
      </c>
      <c r="M14" s="9"/>
      <c r="N14" s="9"/>
      <c r="O14" s="11" t="s">
        <v>101</v>
      </c>
      <c r="P14" s="12">
        <v>24.01060455</v>
      </c>
      <c r="Q14" s="12">
        <v>-104.65351371</v>
      </c>
      <c r="R14" s="9" t="s">
        <v>168</v>
      </c>
      <c r="S14" s="13"/>
      <c r="T14" s="13"/>
      <c r="U14" s="13"/>
    </row>
    <row r="15" spans="1:21" x14ac:dyDescent="0.3">
      <c r="A15" s="9">
        <v>14</v>
      </c>
      <c r="B15" s="9" t="s">
        <v>37</v>
      </c>
      <c r="C15" s="9" t="s">
        <v>50</v>
      </c>
      <c r="D15" s="9" t="s">
        <v>94</v>
      </c>
      <c r="E15" s="9" t="s">
        <v>169</v>
      </c>
      <c r="F15" s="9"/>
      <c r="G15" s="9" t="s">
        <v>104</v>
      </c>
      <c r="H15" s="9" t="s">
        <v>97</v>
      </c>
      <c r="I15" s="9" t="s">
        <v>170</v>
      </c>
      <c r="J15" s="9" t="s">
        <v>171</v>
      </c>
      <c r="K15" s="9" t="s">
        <v>172</v>
      </c>
      <c r="L15" s="9" t="s">
        <v>173</v>
      </c>
      <c r="M15" s="9"/>
      <c r="N15" s="9"/>
      <c r="O15" s="11" t="s">
        <v>101</v>
      </c>
      <c r="P15" s="12">
        <v>24.054750540000001</v>
      </c>
      <c r="Q15" s="12">
        <v>-104.59531991999999</v>
      </c>
      <c r="R15" s="9" t="s">
        <v>174</v>
      </c>
      <c r="S15" s="13"/>
      <c r="T15" s="13"/>
      <c r="U15" s="13"/>
    </row>
    <row r="16" spans="1:21" x14ac:dyDescent="0.3">
      <c r="A16" s="9">
        <v>15</v>
      </c>
      <c r="B16" s="9" t="s">
        <v>37</v>
      </c>
      <c r="C16" s="9" t="s">
        <v>50</v>
      </c>
      <c r="D16" s="9" t="s">
        <v>94</v>
      </c>
      <c r="E16" s="9" t="s">
        <v>175</v>
      </c>
      <c r="F16" s="9"/>
      <c r="G16" s="9" t="s">
        <v>96</v>
      </c>
      <c r="H16" s="9" t="s">
        <v>97</v>
      </c>
      <c r="I16" s="9" t="s">
        <v>176</v>
      </c>
      <c r="J16" s="9" t="s">
        <v>111</v>
      </c>
      <c r="K16" s="9" t="s">
        <v>112</v>
      </c>
      <c r="L16" s="9" t="s">
        <v>177</v>
      </c>
      <c r="M16" s="9"/>
      <c r="N16" s="9"/>
      <c r="O16" s="11" t="s">
        <v>101</v>
      </c>
      <c r="P16" s="12">
        <v>24.005458919999999</v>
      </c>
      <c r="Q16" s="12">
        <v>-104.6551747</v>
      </c>
      <c r="R16" s="9" t="s">
        <v>178</v>
      </c>
      <c r="S16" s="13"/>
      <c r="T16" s="13"/>
      <c r="U16" s="13"/>
    </row>
    <row r="17" spans="1:21" x14ac:dyDescent="0.3">
      <c r="A17" s="9">
        <v>16</v>
      </c>
      <c r="B17" s="9" t="s">
        <v>37</v>
      </c>
      <c r="C17" s="9" t="s">
        <v>50</v>
      </c>
      <c r="D17" s="9" t="s">
        <v>94</v>
      </c>
      <c r="E17" s="9" t="s">
        <v>179</v>
      </c>
      <c r="F17" s="9"/>
      <c r="G17" s="9" t="s">
        <v>96</v>
      </c>
      <c r="H17" s="9" t="s">
        <v>97</v>
      </c>
      <c r="I17" s="9" t="s">
        <v>180</v>
      </c>
      <c r="J17" s="9" t="s">
        <v>181</v>
      </c>
      <c r="K17" s="9" t="s">
        <v>152</v>
      </c>
      <c r="L17" s="9"/>
      <c r="M17" s="9"/>
      <c r="N17" s="9"/>
      <c r="O17" s="11" t="s">
        <v>101</v>
      </c>
      <c r="P17" s="12">
        <v>24.0025175</v>
      </c>
      <c r="Q17" s="12">
        <v>-104.65352235</v>
      </c>
      <c r="R17" s="9" t="s">
        <v>182</v>
      </c>
      <c r="S17" s="13"/>
      <c r="T17" s="13"/>
      <c r="U17" s="13"/>
    </row>
    <row r="18" spans="1:21" x14ac:dyDescent="0.3">
      <c r="A18" s="9">
        <v>17</v>
      </c>
      <c r="B18" s="9" t="s">
        <v>37</v>
      </c>
      <c r="C18" s="9" t="s">
        <v>50</v>
      </c>
      <c r="D18" s="9" t="s">
        <v>94</v>
      </c>
      <c r="E18" s="9" t="s">
        <v>183</v>
      </c>
      <c r="F18" s="9"/>
      <c r="G18" s="9" t="s">
        <v>104</v>
      </c>
      <c r="H18" s="9" t="s">
        <v>97</v>
      </c>
      <c r="I18" s="9" t="s">
        <v>184</v>
      </c>
      <c r="J18" s="9" t="s">
        <v>185</v>
      </c>
      <c r="K18" s="9" t="s">
        <v>129</v>
      </c>
      <c r="L18" s="9"/>
      <c r="M18" s="9"/>
      <c r="N18" s="9"/>
      <c r="O18" s="11" t="s">
        <v>101</v>
      </c>
      <c r="P18" s="12">
        <v>24.045001280000001</v>
      </c>
      <c r="Q18" s="12">
        <v>-104.61953056999999</v>
      </c>
      <c r="R18" s="9" t="s">
        <v>186</v>
      </c>
      <c r="S18" s="13"/>
      <c r="T18" s="13"/>
      <c r="U18" s="13"/>
    </row>
    <row r="19" spans="1:21" x14ac:dyDescent="0.3">
      <c r="A19" s="9">
        <v>18</v>
      </c>
      <c r="B19" s="9" t="s">
        <v>37</v>
      </c>
      <c r="C19" s="9" t="s">
        <v>50</v>
      </c>
      <c r="D19" s="9" t="s">
        <v>94</v>
      </c>
      <c r="E19" s="9" t="s">
        <v>187</v>
      </c>
      <c r="F19" s="9" t="s">
        <v>187</v>
      </c>
      <c r="G19" s="9" t="s">
        <v>104</v>
      </c>
      <c r="H19" s="9" t="s">
        <v>97</v>
      </c>
      <c r="I19" s="9" t="s">
        <v>188</v>
      </c>
      <c r="J19" s="9" t="s">
        <v>189</v>
      </c>
      <c r="K19" s="9" t="s">
        <v>190</v>
      </c>
      <c r="L19" s="9"/>
      <c r="M19" s="9"/>
      <c r="N19" s="9"/>
      <c r="O19" s="11" t="s">
        <v>101</v>
      </c>
      <c r="P19" s="12">
        <v>24.058403689999999</v>
      </c>
      <c r="Q19" s="12">
        <v>-104.61961544</v>
      </c>
      <c r="R19" s="9" t="s">
        <v>191</v>
      </c>
      <c r="S19" s="13"/>
      <c r="T19" s="13"/>
      <c r="U19" s="13"/>
    </row>
    <row r="20" spans="1:21" x14ac:dyDescent="0.3">
      <c r="A20" s="9">
        <v>19</v>
      </c>
      <c r="B20" s="9" t="s">
        <v>37</v>
      </c>
      <c r="C20" s="9" t="s">
        <v>50</v>
      </c>
      <c r="D20" s="9" t="s">
        <v>94</v>
      </c>
      <c r="E20" s="9" t="s">
        <v>187</v>
      </c>
      <c r="F20" s="9"/>
      <c r="G20" s="9" t="s">
        <v>104</v>
      </c>
      <c r="H20" s="9" t="s">
        <v>97</v>
      </c>
      <c r="I20" s="9" t="s">
        <v>192</v>
      </c>
      <c r="J20" s="9" t="s">
        <v>193</v>
      </c>
      <c r="K20" s="9" t="s">
        <v>194</v>
      </c>
      <c r="L20" s="9"/>
      <c r="M20" s="9"/>
      <c r="N20" s="9"/>
      <c r="O20" s="11" t="s">
        <v>101</v>
      </c>
      <c r="P20" s="12">
        <v>24.044176929999999</v>
      </c>
      <c r="Q20" s="12">
        <v>-104.68958159</v>
      </c>
      <c r="R20" s="9" t="s">
        <v>195</v>
      </c>
      <c r="S20" s="13"/>
      <c r="T20" s="13"/>
      <c r="U20" s="13"/>
    </row>
    <row r="21" spans="1:21" x14ac:dyDescent="0.3">
      <c r="A21" s="9">
        <v>20</v>
      </c>
      <c r="B21" s="9" t="s">
        <v>37</v>
      </c>
      <c r="C21" s="9" t="s">
        <v>50</v>
      </c>
      <c r="D21" s="9" t="s">
        <v>94</v>
      </c>
      <c r="E21" s="9" t="s">
        <v>196</v>
      </c>
      <c r="F21" s="9"/>
      <c r="G21" s="9" t="s">
        <v>104</v>
      </c>
      <c r="H21" s="9" t="s">
        <v>97</v>
      </c>
      <c r="I21" s="9" t="s">
        <v>197</v>
      </c>
      <c r="J21" s="9" t="s">
        <v>198</v>
      </c>
      <c r="K21" s="9" t="s">
        <v>199</v>
      </c>
      <c r="L21" s="9" t="s">
        <v>200</v>
      </c>
      <c r="M21" s="9"/>
      <c r="N21" s="9"/>
      <c r="O21" s="11" t="s">
        <v>101</v>
      </c>
      <c r="P21" s="12">
        <v>24.049305109999999</v>
      </c>
      <c r="Q21" s="12">
        <v>-104.64846086</v>
      </c>
      <c r="R21" s="9" t="s">
        <v>201</v>
      </c>
      <c r="S21" s="13"/>
      <c r="T21" s="13"/>
      <c r="U21" s="13"/>
    </row>
    <row r="22" spans="1:21" x14ac:dyDescent="0.3">
      <c r="A22" s="9">
        <v>21</v>
      </c>
      <c r="B22" s="9" t="s">
        <v>37</v>
      </c>
      <c r="C22" s="9" t="s">
        <v>50</v>
      </c>
      <c r="D22" s="9" t="s">
        <v>94</v>
      </c>
      <c r="E22" s="9" t="s">
        <v>202</v>
      </c>
      <c r="F22" s="9"/>
      <c r="G22" s="9" t="s">
        <v>104</v>
      </c>
      <c r="H22" s="9" t="s">
        <v>97</v>
      </c>
      <c r="I22" s="9" t="s">
        <v>203</v>
      </c>
      <c r="J22" s="9" t="s">
        <v>204</v>
      </c>
      <c r="K22" s="9" t="s">
        <v>205</v>
      </c>
      <c r="L22" s="9" t="s">
        <v>206</v>
      </c>
      <c r="M22" s="9"/>
      <c r="N22" s="9"/>
      <c r="O22" s="11" t="s">
        <v>101</v>
      </c>
      <c r="P22" s="12">
        <v>24.020971970000002</v>
      </c>
      <c r="Q22" s="12">
        <v>-104.62715167</v>
      </c>
      <c r="R22" s="9" t="s">
        <v>207</v>
      </c>
      <c r="S22" s="13"/>
      <c r="T22" s="13"/>
      <c r="U22" s="13"/>
    </row>
    <row r="23" spans="1:21" x14ac:dyDescent="0.3">
      <c r="A23" s="9">
        <v>22</v>
      </c>
      <c r="B23" s="9" t="s">
        <v>37</v>
      </c>
      <c r="C23" s="9" t="s">
        <v>50</v>
      </c>
      <c r="D23" s="9" t="s">
        <v>94</v>
      </c>
      <c r="E23" s="9" t="s">
        <v>208</v>
      </c>
      <c r="F23" s="9"/>
      <c r="G23" s="9" t="s">
        <v>104</v>
      </c>
      <c r="H23" s="9" t="s">
        <v>97</v>
      </c>
      <c r="I23" s="9" t="s">
        <v>209</v>
      </c>
      <c r="J23" s="9" t="s">
        <v>139</v>
      </c>
      <c r="K23" s="9" t="s">
        <v>210</v>
      </c>
      <c r="L23" s="9"/>
      <c r="M23" s="9"/>
      <c r="N23" s="9"/>
      <c r="O23" s="11" t="s">
        <v>101</v>
      </c>
      <c r="P23" s="12">
        <v>24.017992270000001</v>
      </c>
      <c r="Q23" s="12">
        <v>-104.69020704</v>
      </c>
      <c r="R23" s="9" t="s">
        <v>211</v>
      </c>
      <c r="S23" s="13"/>
      <c r="T23" s="13"/>
      <c r="U23" s="13"/>
    </row>
    <row r="24" spans="1:21" x14ac:dyDescent="0.3">
      <c r="A24" s="9">
        <v>23</v>
      </c>
      <c r="B24" s="9" t="s">
        <v>37</v>
      </c>
      <c r="C24" s="9" t="s">
        <v>50</v>
      </c>
      <c r="D24" s="9" t="s">
        <v>94</v>
      </c>
      <c r="E24" s="9" t="s">
        <v>212</v>
      </c>
      <c r="F24" s="9"/>
      <c r="G24" s="9" t="s">
        <v>104</v>
      </c>
      <c r="H24" s="9" t="s">
        <v>97</v>
      </c>
      <c r="I24" s="9" t="s">
        <v>213</v>
      </c>
      <c r="J24" s="9" t="s">
        <v>214</v>
      </c>
      <c r="K24" s="9" t="s">
        <v>172</v>
      </c>
      <c r="L24" s="9"/>
      <c r="M24" s="9"/>
      <c r="N24" s="9"/>
      <c r="O24" s="11" t="s">
        <v>101</v>
      </c>
      <c r="P24" s="12">
        <v>24.056844819999998</v>
      </c>
      <c r="Q24" s="12">
        <v>-104.58707387</v>
      </c>
      <c r="R24" s="9" t="s">
        <v>215</v>
      </c>
      <c r="S24" s="13"/>
      <c r="T24" s="13"/>
      <c r="U24" s="13"/>
    </row>
    <row r="25" spans="1:21" x14ac:dyDescent="0.3">
      <c r="A25" s="9">
        <v>24</v>
      </c>
      <c r="B25" s="9" t="s">
        <v>37</v>
      </c>
      <c r="C25" s="9" t="s">
        <v>50</v>
      </c>
      <c r="D25" s="9" t="s">
        <v>94</v>
      </c>
      <c r="E25" s="9" t="s">
        <v>216</v>
      </c>
      <c r="F25" s="9"/>
      <c r="G25" s="9" t="s">
        <v>104</v>
      </c>
      <c r="H25" s="9" t="s">
        <v>97</v>
      </c>
      <c r="I25" s="9" t="s">
        <v>217</v>
      </c>
      <c r="J25" s="9" t="s">
        <v>218</v>
      </c>
      <c r="K25" s="9" t="s">
        <v>219</v>
      </c>
      <c r="L25" s="9" t="s">
        <v>220</v>
      </c>
      <c r="M25" s="9" t="s">
        <v>221</v>
      </c>
      <c r="N25" s="9"/>
      <c r="O25" s="11" t="s">
        <v>101</v>
      </c>
      <c r="P25" s="12">
        <v>23.987400000000001</v>
      </c>
      <c r="Q25" s="12">
        <v>-104.66450656000001</v>
      </c>
      <c r="R25" s="9" t="s">
        <v>222</v>
      </c>
      <c r="S25" s="13"/>
      <c r="T25" s="13"/>
      <c r="U25" s="13"/>
    </row>
    <row r="26" spans="1:21" x14ac:dyDescent="0.3">
      <c r="A26" s="9">
        <v>25</v>
      </c>
      <c r="B26" s="9" t="s">
        <v>37</v>
      </c>
      <c r="C26" s="9" t="s">
        <v>50</v>
      </c>
      <c r="D26" s="9" t="s">
        <v>94</v>
      </c>
      <c r="E26" s="9" t="s">
        <v>223</v>
      </c>
      <c r="F26" s="9"/>
      <c r="G26" s="9" t="s">
        <v>104</v>
      </c>
      <c r="H26" s="9" t="s">
        <v>97</v>
      </c>
      <c r="I26" s="9" t="s">
        <v>224</v>
      </c>
      <c r="J26" s="9" t="s">
        <v>225</v>
      </c>
      <c r="K26" s="9" t="s">
        <v>226</v>
      </c>
      <c r="L26" s="9"/>
      <c r="M26" s="9"/>
      <c r="N26" s="9"/>
      <c r="O26" s="11" t="s">
        <v>101</v>
      </c>
      <c r="P26" s="12">
        <v>24.032086</v>
      </c>
      <c r="Q26" s="12">
        <v>-104.6535385</v>
      </c>
      <c r="R26" s="9" t="s">
        <v>227</v>
      </c>
      <c r="S26" s="13"/>
      <c r="T26" s="13"/>
      <c r="U26" s="13"/>
    </row>
    <row r="27" spans="1:21" x14ac:dyDescent="0.3">
      <c r="A27" s="9">
        <v>26</v>
      </c>
      <c r="B27" s="9" t="s">
        <v>37</v>
      </c>
      <c r="C27" s="9" t="s">
        <v>50</v>
      </c>
      <c r="D27" s="9" t="s">
        <v>94</v>
      </c>
      <c r="E27" s="9" t="s">
        <v>228</v>
      </c>
      <c r="F27" s="9"/>
      <c r="G27" s="9" t="s">
        <v>104</v>
      </c>
      <c r="H27" s="9" t="s">
        <v>97</v>
      </c>
      <c r="I27" s="9" t="s">
        <v>229</v>
      </c>
      <c r="J27" s="9" t="s">
        <v>230</v>
      </c>
      <c r="K27" s="9" t="s">
        <v>129</v>
      </c>
      <c r="L27" s="9"/>
      <c r="M27" s="9" t="s">
        <v>231</v>
      </c>
      <c r="N27" s="9"/>
      <c r="O27" s="11" t="s">
        <v>101</v>
      </c>
      <c r="P27" s="12">
        <v>24.043514210000001</v>
      </c>
      <c r="Q27" s="12">
        <v>-104.62224223</v>
      </c>
      <c r="R27" s="9" t="s">
        <v>232</v>
      </c>
      <c r="S27" s="13"/>
      <c r="T27" s="13"/>
      <c r="U27" s="13"/>
    </row>
    <row r="28" spans="1:21" x14ac:dyDescent="0.3">
      <c r="A28" s="9">
        <v>27</v>
      </c>
      <c r="B28" s="9" t="s">
        <v>37</v>
      </c>
      <c r="C28" s="9" t="s">
        <v>50</v>
      </c>
      <c r="D28" s="9" t="s">
        <v>94</v>
      </c>
      <c r="E28" s="9" t="s">
        <v>233</v>
      </c>
      <c r="F28" s="9"/>
      <c r="G28" s="9" t="s">
        <v>104</v>
      </c>
      <c r="H28" s="9" t="s">
        <v>97</v>
      </c>
      <c r="I28" s="9" t="s">
        <v>234</v>
      </c>
      <c r="J28" s="9" t="s">
        <v>235</v>
      </c>
      <c r="K28" s="9" t="s">
        <v>100</v>
      </c>
      <c r="L28" s="9"/>
      <c r="M28" s="9"/>
      <c r="N28" s="9"/>
      <c r="O28" s="11" t="s">
        <v>101</v>
      </c>
      <c r="P28" s="12">
        <v>24.005488360000001</v>
      </c>
      <c r="Q28" s="12">
        <v>-104.64406485000001</v>
      </c>
      <c r="R28" s="9" t="s">
        <v>236</v>
      </c>
      <c r="S28" s="13"/>
      <c r="T28" s="13"/>
      <c r="U28" s="13"/>
    </row>
    <row r="29" spans="1:21" x14ac:dyDescent="0.3">
      <c r="A29" s="9">
        <v>28</v>
      </c>
      <c r="B29" s="9" t="s">
        <v>37</v>
      </c>
      <c r="C29" s="9" t="s">
        <v>50</v>
      </c>
      <c r="D29" s="9" t="s">
        <v>94</v>
      </c>
      <c r="E29" s="9" t="s">
        <v>237</v>
      </c>
      <c r="F29" s="9"/>
      <c r="G29" s="9" t="s">
        <v>104</v>
      </c>
      <c r="H29" s="9" t="s">
        <v>97</v>
      </c>
      <c r="I29" s="9" t="s">
        <v>238</v>
      </c>
      <c r="J29" s="9" t="s">
        <v>239</v>
      </c>
      <c r="K29" s="9" t="s">
        <v>240</v>
      </c>
      <c r="L29" s="9"/>
      <c r="M29" s="9"/>
      <c r="N29" s="9"/>
      <c r="O29" s="11" t="s">
        <v>101</v>
      </c>
      <c r="P29" s="12">
        <v>24.032549329999998</v>
      </c>
      <c r="Q29" s="12">
        <v>-104.67902581</v>
      </c>
      <c r="R29" s="9" t="s">
        <v>241</v>
      </c>
      <c r="S29" s="13"/>
      <c r="T29" s="13"/>
      <c r="U29" s="13"/>
    </row>
    <row r="30" spans="1:21" x14ac:dyDescent="0.3">
      <c r="A30" s="9">
        <v>29</v>
      </c>
      <c r="B30" s="9" t="s">
        <v>37</v>
      </c>
      <c r="C30" s="9" t="s">
        <v>50</v>
      </c>
      <c r="D30" s="9" t="s">
        <v>94</v>
      </c>
      <c r="E30" s="9" t="s">
        <v>242</v>
      </c>
      <c r="F30" s="9" t="s">
        <v>243</v>
      </c>
      <c r="G30" s="9" t="s">
        <v>104</v>
      </c>
      <c r="H30" s="9" t="s">
        <v>97</v>
      </c>
      <c r="I30" s="9" t="s">
        <v>244</v>
      </c>
      <c r="J30" s="9" t="s">
        <v>245</v>
      </c>
      <c r="K30" s="9" t="s">
        <v>172</v>
      </c>
      <c r="L30" s="9" t="s">
        <v>246</v>
      </c>
      <c r="M30" s="9"/>
      <c r="N30" s="9"/>
      <c r="O30" s="11" t="s">
        <v>101</v>
      </c>
      <c r="P30" s="12">
        <v>24.070034960000001</v>
      </c>
      <c r="Q30" s="12">
        <v>-104.58934282</v>
      </c>
      <c r="R30" s="9" t="s">
        <v>247</v>
      </c>
      <c r="S30" s="13"/>
      <c r="T30" s="13"/>
      <c r="U30" s="13"/>
    </row>
    <row r="31" spans="1:21" x14ac:dyDescent="0.3">
      <c r="A31" s="9">
        <v>30</v>
      </c>
      <c r="B31" s="9" t="s">
        <v>37</v>
      </c>
      <c r="C31" s="9" t="s">
        <v>50</v>
      </c>
      <c r="D31" s="9" t="s">
        <v>94</v>
      </c>
      <c r="E31" s="9" t="s">
        <v>248</v>
      </c>
      <c r="F31" s="9"/>
      <c r="G31" s="9" t="s">
        <v>104</v>
      </c>
      <c r="H31" s="9" t="s">
        <v>97</v>
      </c>
      <c r="I31" s="9" t="s">
        <v>249</v>
      </c>
      <c r="J31" s="9" t="s">
        <v>250</v>
      </c>
      <c r="K31" s="9" t="s">
        <v>251</v>
      </c>
      <c r="L31" s="9"/>
      <c r="M31" s="9"/>
      <c r="N31" s="9"/>
      <c r="O31" s="11" t="s">
        <v>101</v>
      </c>
      <c r="P31" s="12">
        <v>24.020047049999999</v>
      </c>
      <c r="Q31" s="12">
        <v>-104.64114053999999</v>
      </c>
      <c r="R31" s="9" t="s">
        <v>252</v>
      </c>
      <c r="S31" s="13"/>
      <c r="T31" s="13"/>
      <c r="U31" s="13"/>
    </row>
    <row r="32" spans="1:21" x14ac:dyDescent="0.3">
      <c r="A32" s="9">
        <v>31</v>
      </c>
      <c r="B32" s="9" t="s">
        <v>37</v>
      </c>
      <c r="C32" s="9" t="s">
        <v>50</v>
      </c>
      <c r="D32" s="9" t="s">
        <v>94</v>
      </c>
      <c r="E32" s="9" t="s">
        <v>253</v>
      </c>
      <c r="F32" s="9"/>
      <c r="G32" s="9" t="s">
        <v>104</v>
      </c>
      <c r="H32" s="9" t="s">
        <v>97</v>
      </c>
      <c r="I32" s="9" t="s">
        <v>254</v>
      </c>
      <c r="J32" s="9" t="s">
        <v>255</v>
      </c>
      <c r="K32" s="9" t="s">
        <v>256</v>
      </c>
      <c r="L32" s="9" t="s">
        <v>257</v>
      </c>
      <c r="M32" s="9"/>
      <c r="N32" s="9"/>
      <c r="O32" s="11" t="s">
        <v>101</v>
      </c>
      <c r="P32" s="12">
        <v>24.058302529999999</v>
      </c>
      <c r="Q32" s="12">
        <v>-104.58783431000001</v>
      </c>
      <c r="R32" s="9" t="s">
        <v>258</v>
      </c>
      <c r="S32" s="13"/>
      <c r="T32" s="13"/>
      <c r="U32" s="13"/>
    </row>
    <row r="33" spans="1:21" x14ac:dyDescent="0.3">
      <c r="A33" s="9">
        <v>32</v>
      </c>
      <c r="B33" s="9" t="s">
        <v>37</v>
      </c>
      <c r="C33" s="9" t="s">
        <v>50</v>
      </c>
      <c r="D33" s="9" t="s">
        <v>94</v>
      </c>
      <c r="E33" s="9" t="s">
        <v>259</v>
      </c>
      <c r="F33" s="9"/>
      <c r="G33" s="9" t="s">
        <v>104</v>
      </c>
      <c r="H33" s="9" t="s">
        <v>97</v>
      </c>
      <c r="I33" s="9" t="s">
        <v>260</v>
      </c>
      <c r="J33" s="9" t="s">
        <v>261</v>
      </c>
      <c r="K33" s="9" t="s">
        <v>262</v>
      </c>
      <c r="L33" s="9" t="s">
        <v>263</v>
      </c>
      <c r="M33" s="9"/>
      <c r="N33" s="9"/>
      <c r="O33" s="11" t="s">
        <v>101</v>
      </c>
      <c r="P33" s="12">
        <v>24.01033808</v>
      </c>
      <c r="Q33" s="12">
        <v>-104.66982492</v>
      </c>
      <c r="R33" s="9" t="s">
        <v>264</v>
      </c>
      <c r="S33" s="13"/>
      <c r="T33" s="13"/>
      <c r="U33" s="13"/>
    </row>
    <row r="34" spans="1:21" x14ac:dyDescent="0.3">
      <c r="A34" s="9">
        <v>33</v>
      </c>
      <c r="B34" s="9" t="s">
        <v>37</v>
      </c>
      <c r="C34" s="9" t="s">
        <v>50</v>
      </c>
      <c r="D34" s="9" t="s">
        <v>94</v>
      </c>
      <c r="E34" s="9" t="s">
        <v>265</v>
      </c>
      <c r="F34" s="9"/>
      <c r="G34" s="9" t="s">
        <v>104</v>
      </c>
      <c r="H34" s="9" t="s">
        <v>97</v>
      </c>
      <c r="I34" s="9" t="s">
        <v>266</v>
      </c>
      <c r="J34" s="9" t="s">
        <v>267</v>
      </c>
      <c r="K34" s="9" t="s">
        <v>268</v>
      </c>
      <c r="L34" s="9"/>
      <c r="M34" s="9" t="s">
        <v>269</v>
      </c>
      <c r="N34" s="9"/>
      <c r="O34" s="11" t="s">
        <v>101</v>
      </c>
      <c r="P34" s="12">
        <v>24.041285120000001</v>
      </c>
      <c r="Q34" s="12">
        <v>-104.64969332</v>
      </c>
      <c r="R34" s="9" t="s">
        <v>270</v>
      </c>
      <c r="S34" s="13"/>
      <c r="T34" s="13"/>
      <c r="U34" s="13"/>
    </row>
    <row r="35" spans="1:21" x14ac:dyDescent="0.3">
      <c r="A35" s="9">
        <v>34</v>
      </c>
      <c r="B35" s="9" t="s">
        <v>37</v>
      </c>
      <c r="C35" s="9" t="s">
        <v>50</v>
      </c>
      <c r="D35" s="9" t="s">
        <v>94</v>
      </c>
      <c r="E35" s="9" t="s">
        <v>271</v>
      </c>
      <c r="F35" s="9"/>
      <c r="G35" s="9" t="s">
        <v>104</v>
      </c>
      <c r="H35" s="9" t="s">
        <v>97</v>
      </c>
      <c r="I35" s="9" t="s">
        <v>272</v>
      </c>
      <c r="J35" s="9" t="s">
        <v>273</v>
      </c>
      <c r="K35" s="9" t="s">
        <v>274</v>
      </c>
      <c r="L35" s="9"/>
      <c r="M35" s="9"/>
      <c r="N35" s="9"/>
      <c r="O35" s="11" t="s">
        <v>101</v>
      </c>
      <c r="P35" s="12">
        <v>24.044050030000001</v>
      </c>
      <c r="Q35" s="12">
        <v>-104.63569468</v>
      </c>
      <c r="R35" s="9" t="s">
        <v>275</v>
      </c>
      <c r="S35" s="13"/>
      <c r="T35" s="13"/>
      <c r="U35" s="13"/>
    </row>
    <row r="36" spans="1:21" x14ac:dyDescent="0.3">
      <c r="A36" s="9">
        <v>35</v>
      </c>
      <c r="B36" s="9" t="s">
        <v>37</v>
      </c>
      <c r="C36" s="9" t="s">
        <v>50</v>
      </c>
      <c r="D36" s="9" t="s">
        <v>94</v>
      </c>
      <c r="E36" s="9" t="s">
        <v>276</v>
      </c>
      <c r="F36" s="9"/>
      <c r="G36" s="9" t="s">
        <v>104</v>
      </c>
      <c r="H36" s="9" t="s">
        <v>97</v>
      </c>
      <c r="I36" s="9" t="s">
        <v>277</v>
      </c>
      <c r="J36" s="9" t="s">
        <v>273</v>
      </c>
      <c r="K36" s="9" t="s">
        <v>274</v>
      </c>
      <c r="L36" s="9"/>
      <c r="M36" s="9"/>
      <c r="N36" s="9"/>
      <c r="O36" s="11" t="s">
        <v>101</v>
      </c>
      <c r="P36" s="12">
        <v>24.04475601</v>
      </c>
      <c r="Q36" s="12">
        <v>-104.63643879999999</v>
      </c>
      <c r="R36" s="9" t="s">
        <v>278</v>
      </c>
      <c r="S36" s="13"/>
      <c r="T36" s="13"/>
      <c r="U36" s="13"/>
    </row>
    <row r="37" spans="1:21" x14ac:dyDescent="0.3">
      <c r="A37" s="9">
        <v>36</v>
      </c>
      <c r="B37" s="9" t="s">
        <v>37</v>
      </c>
      <c r="C37" s="9" t="s">
        <v>50</v>
      </c>
      <c r="D37" s="9" t="s">
        <v>94</v>
      </c>
      <c r="E37" s="9" t="s">
        <v>279</v>
      </c>
      <c r="F37" s="9"/>
      <c r="G37" s="9" t="s">
        <v>104</v>
      </c>
      <c r="H37" s="9" t="s">
        <v>97</v>
      </c>
      <c r="I37" s="9" t="s">
        <v>280</v>
      </c>
      <c r="J37" s="9" t="s">
        <v>281</v>
      </c>
      <c r="K37" s="9" t="s">
        <v>282</v>
      </c>
      <c r="L37" s="9"/>
      <c r="M37" s="9"/>
      <c r="N37" s="9"/>
      <c r="O37" s="11" t="s">
        <v>101</v>
      </c>
      <c r="P37" s="12">
        <v>24.04237505</v>
      </c>
      <c r="Q37" s="12">
        <v>-104.68423847</v>
      </c>
      <c r="R37" s="9" t="s">
        <v>283</v>
      </c>
      <c r="S37" s="13"/>
      <c r="T37" s="13"/>
      <c r="U37" s="13"/>
    </row>
    <row r="38" spans="1:21" x14ac:dyDescent="0.3">
      <c r="A38" s="9">
        <v>37</v>
      </c>
      <c r="B38" s="9" t="s">
        <v>37</v>
      </c>
      <c r="C38" s="9" t="s">
        <v>50</v>
      </c>
      <c r="D38" s="9" t="s">
        <v>94</v>
      </c>
      <c r="E38" s="9" t="s">
        <v>284</v>
      </c>
      <c r="F38" s="9"/>
      <c r="G38" s="9" t="s">
        <v>104</v>
      </c>
      <c r="H38" s="9" t="s">
        <v>97</v>
      </c>
      <c r="I38" s="9" t="s">
        <v>285</v>
      </c>
      <c r="J38" s="9" t="s">
        <v>286</v>
      </c>
      <c r="K38" s="9" t="s">
        <v>287</v>
      </c>
      <c r="L38" s="9"/>
      <c r="M38" s="9"/>
      <c r="N38" s="9"/>
      <c r="O38" s="11" t="s">
        <v>101</v>
      </c>
      <c r="P38" s="12">
        <v>24.00972282</v>
      </c>
      <c r="Q38" s="12">
        <v>-104.71069331</v>
      </c>
      <c r="R38" s="9" t="s">
        <v>288</v>
      </c>
      <c r="S38" s="13"/>
      <c r="T38" s="13"/>
      <c r="U38" s="13"/>
    </row>
    <row r="39" spans="1:21" x14ac:dyDescent="0.3">
      <c r="A39" s="9">
        <v>38</v>
      </c>
      <c r="B39" s="9" t="s">
        <v>37</v>
      </c>
      <c r="C39" s="9" t="s">
        <v>50</v>
      </c>
      <c r="D39" s="9" t="s">
        <v>94</v>
      </c>
      <c r="E39" s="9" t="s">
        <v>284</v>
      </c>
      <c r="F39" s="9"/>
      <c r="G39" s="9" t="s">
        <v>104</v>
      </c>
      <c r="H39" s="9" t="s">
        <v>97</v>
      </c>
      <c r="I39" s="9" t="s">
        <v>289</v>
      </c>
      <c r="J39" s="9" t="s">
        <v>290</v>
      </c>
      <c r="K39" s="9" t="s">
        <v>291</v>
      </c>
      <c r="L39" s="9"/>
      <c r="M39" s="9"/>
      <c r="N39" s="9"/>
      <c r="O39" s="11" t="s">
        <v>101</v>
      </c>
      <c r="P39" s="12">
        <v>24.04096054</v>
      </c>
      <c r="Q39" s="12">
        <v>-104.59921719</v>
      </c>
      <c r="R39" s="9" t="s">
        <v>292</v>
      </c>
      <c r="S39" s="13"/>
      <c r="T39" s="13"/>
      <c r="U39" s="13"/>
    </row>
    <row r="40" spans="1:21" x14ac:dyDescent="0.3">
      <c r="A40" s="9">
        <v>39</v>
      </c>
      <c r="B40" s="9" t="s">
        <v>37</v>
      </c>
      <c r="C40" s="9" t="s">
        <v>50</v>
      </c>
      <c r="D40" s="9" t="s">
        <v>94</v>
      </c>
      <c r="E40" s="9" t="s">
        <v>284</v>
      </c>
      <c r="F40" s="9"/>
      <c r="G40" s="9" t="s">
        <v>104</v>
      </c>
      <c r="H40" s="9" t="s">
        <v>97</v>
      </c>
      <c r="I40" s="9" t="s">
        <v>293</v>
      </c>
      <c r="J40" s="9" t="s">
        <v>294</v>
      </c>
      <c r="K40" s="9" t="s">
        <v>295</v>
      </c>
      <c r="L40" s="9"/>
      <c r="M40" s="9"/>
      <c r="N40" s="9"/>
      <c r="O40" s="11" t="s">
        <v>101</v>
      </c>
      <c r="P40" s="12">
        <v>23.997985830000001</v>
      </c>
      <c r="Q40" s="12">
        <v>-104.64248581</v>
      </c>
      <c r="R40" s="9" t="s">
        <v>296</v>
      </c>
      <c r="S40" s="13"/>
      <c r="T40" s="13"/>
      <c r="U40" s="13"/>
    </row>
    <row r="41" spans="1:21" x14ac:dyDescent="0.3">
      <c r="A41" s="9">
        <v>40</v>
      </c>
      <c r="B41" s="9" t="s">
        <v>37</v>
      </c>
      <c r="C41" s="9" t="s">
        <v>50</v>
      </c>
      <c r="D41" s="9" t="s">
        <v>94</v>
      </c>
      <c r="E41" s="9" t="s">
        <v>284</v>
      </c>
      <c r="F41" s="9" t="s">
        <v>284</v>
      </c>
      <c r="G41" s="9" t="s">
        <v>104</v>
      </c>
      <c r="H41" s="9" t="s">
        <v>97</v>
      </c>
      <c r="I41" s="9" t="s">
        <v>297</v>
      </c>
      <c r="J41" s="9" t="s">
        <v>298</v>
      </c>
      <c r="K41" s="9" t="s">
        <v>194</v>
      </c>
      <c r="L41" s="9"/>
      <c r="M41" s="9"/>
      <c r="N41" s="9"/>
      <c r="O41" s="11" t="s">
        <v>101</v>
      </c>
      <c r="P41" s="12">
        <v>24.043651350000001</v>
      </c>
      <c r="Q41" s="12">
        <v>-104.68075304</v>
      </c>
      <c r="R41" s="9" t="s">
        <v>299</v>
      </c>
      <c r="S41" s="13"/>
      <c r="T41" s="13"/>
      <c r="U41" s="13"/>
    </row>
    <row r="42" spans="1:21" x14ac:dyDescent="0.3">
      <c r="A42" s="9">
        <v>41</v>
      </c>
      <c r="B42" s="9" t="s">
        <v>37</v>
      </c>
      <c r="C42" s="9" t="s">
        <v>50</v>
      </c>
      <c r="D42" s="9" t="s">
        <v>94</v>
      </c>
      <c r="E42" s="9" t="s">
        <v>284</v>
      </c>
      <c r="F42" s="9" t="s">
        <v>284</v>
      </c>
      <c r="G42" s="9" t="s">
        <v>104</v>
      </c>
      <c r="H42" s="9" t="s">
        <v>97</v>
      </c>
      <c r="I42" s="9" t="s">
        <v>300</v>
      </c>
      <c r="J42" s="9" t="s">
        <v>301</v>
      </c>
      <c r="K42" s="9" t="s">
        <v>302</v>
      </c>
      <c r="L42" s="9"/>
      <c r="M42" s="9"/>
      <c r="N42" s="9"/>
      <c r="O42" s="11" t="s">
        <v>101</v>
      </c>
      <c r="P42" s="12">
        <v>24.000928030000001</v>
      </c>
      <c r="Q42" s="12">
        <v>-104.65186396</v>
      </c>
      <c r="R42" s="9" t="s">
        <v>303</v>
      </c>
      <c r="S42" s="13"/>
      <c r="T42" s="13"/>
      <c r="U42" s="13"/>
    </row>
    <row r="43" spans="1:21" x14ac:dyDescent="0.3">
      <c r="A43" s="9">
        <v>42</v>
      </c>
      <c r="B43" s="9" t="s">
        <v>37</v>
      </c>
      <c r="C43" s="9" t="s">
        <v>50</v>
      </c>
      <c r="D43" s="9" t="s">
        <v>94</v>
      </c>
      <c r="E43" s="9" t="s">
        <v>304</v>
      </c>
      <c r="F43" s="9"/>
      <c r="G43" s="9" t="s">
        <v>104</v>
      </c>
      <c r="H43" s="9" t="s">
        <v>97</v>
      </c>
      <c r="I43" s="9" t="s">
        <v>305</v>
      </c>
      <c r="J43" s="9" t="s">
        <v>306</v>
      </c>
      <c r="K43" s="9" t="s">
        <v>307</v>
      </c>
      <c r="L43" s="9"/>
      <c r="M43" s="9"/>
      <c r="N43" s="9"/>
      <c r="O43" s="11" t="s">
        <v>101</v>
      </c>
      <c r="P43" s="12">
        <v>24.05311485</v>
      </c>
      <c r="Q43" s="12">
        <v>-104.60697051</v>
      </c>
      <c r="R43" s="9" t="s">
        <v>308</v>
      </c>
      <c r="S43" s="13"/>
      <c r="T43" s="13"/>
      <c r="U43" s="13"/>
    </row>
    <row r="44" spans="1:21" x14ac:dyDescent="0.3">
      <c r="A44" s="9">
        <v>43</v>
      </c>
      <c r="B44" s="9" t="s">
        <v>37</v>
      </c>
      <c r="C44" s="9" t="s">
        <v>50</v>
      </c>
      <c r="D44" s="9" t="s">
        <v>94</v>
      </c>
      <c r="E44" s="9" t="s">
        <v>309</v>
      </c>
      <c r="F44" s="9"/>
      <c r="G44" s="9" t="s">
        <v>104</v>
      </c>
      <c r="H44" s="9" t="s">
        <v>97</v>
      </c>
      <c r="I44" s="9" t="s">
        <v>310</v>
      </c>
      <c r="J44" s="9" t="s">
        <v>311</v>
      </c>
      <c r="K44" s="9" t="s">
        <v>172</v>
      </c>
      <c r="L44" s="9" t="s">
        <v>312</v>
      </c>
      <c r="M44" s="9"/>
      <c r="N44" s="9"/>
      <c r="O44" s="11" t="s">
        <v>101</v>
      </c>
      <c r="P44" s="12">
        <v>24.060460849999998</v>
      </c>
      <c r="Q44" s="12">
        <v>-104.58429747</v>
      </c>
      <c r="R44" s="9" t="s">
        <v>313</v>
      </c>
      <c r="S44" s="13"/>
      <c r="T44" s="13"/>
      <c r="U44" s="13"/>
    </row>
    <row r="45" spans="1:21" x14ac:dyDescent="0.3">
      <c r="A45" s="9">
        <v>44</v>
      </c>
      <c r="B45" s="9" t="s">
        <v>37</v>
      </c>
      <c r="C45" s="9" t="s">
        <v>50</v>
      </c>
      <c r="D45" s="9" t="s">
        <v>94</v>
      </c>
      <c r="E45" s="9" t="s">
        <v>314</v>
      </c>
      <c r="F45" s="9"/>
      <c r="G45" s="9" t="s">
        <v>104</v>
      </c>
      <c r="H45" s="9" t="s">
        <v>97</v>
      </c>
      <c r="I45" s="9" t="s">
        <v>315</v>
      </c>
      <c r="J45" s="9" t="s">
        <v>316</v>
      </c>
      <c r="K45" s="9" t="s">
        <v>135</v>
      </c>
      <c r="L45" s="9" t="s">
        <v>317</v>
      </c>
      <c r="M45" s="9"/>
      <c r="N45" s="9"/>
      <c r="O45" s="11" t="s">
        <v>101</v>
      </c>
      <c r="P45" s="12">
        <v>24.032464139999998</v>
      </c>
      <c r="Q45" s="12">
        <v>-104.63125664</v>
      </c>
      <c r="R45" s="9" t="s">
        <v>318</v>
      </c>
      <c r="S45" s="13"/>
      <c r="T45" s="13"/>
      <c r="U45" s="13"/>
    </row>
    <row r="46" spans="1:21" x14ac:dyDescent="0.3">
      <c r="A46" s="9">
        <v>45</v>
      </c>
      <c r="B46" s="9" t="s">
        <v>37</v>
      </c>
      <c r="C46" s="9" t="s">
        <v>50</v>
      </c>
      <c r="D46" s="9" t="s">
        <v>94</v>
      </c>
      <c r="E46" s="9" t="s">
        <v>319</v>
      </c>
      <c r="F46" s="9"/>
      <c r="G46" s="9" t="s">
        <v>104</v>
      </c>
      <c r="H46" s="9" t="s">
        <v>97</v>
      </c>
      <c r="I46" s="9" t="s">
        <v>320</v>
      </c>
      <c r="J46" s="9" t="s">
        <v>273</v>
      </c>
      <c r="K46" s="9" t="s">
        <v>274</v>
      </c>
      <c r="L46" s="9"/>
      <c r="M46" s="9"/>
      <c r="N46" s="9"/>
      <c r="O46" s="11" t="s">
        <v>101</v>
      </c>
      <c r="P46" s="12">
        <v>24.037769229999999</v>
      </c>
      <c r="Q46" s="12">
        <v>-104.63628045</v>
      </c>
      <c r="R46" s="9" t="s">
        <v>321</v>
      </c>
      <c r="S46" s="13"/>
      <c r="T46" s="13"/>
      <c r="U46" s="13"/>
    </row>
    <row r="47" spans="1:21" x14ac:dyDescent="0.3">
      <c r="A47" s="9">
        <v>46</v>
      </c>
      <c r="B47" s="9" t="s">
        <v>37</v>
      </c>
      <c r="C47" s="9" t="s">
        <v>50</v>
      </c>
      <c r="D47" s="9" t="s">
        <v>94</v>
      </c>
      <c r="E47" s="9" t="s">
        <v>322</v>
      </c>
      <c r="F47" s="9"/>
      <c r="G47" s="9" t="s">
        <v>104</v>
      </c>
      <c r="H47" s="9" t="s">
        <v>97</v>
      </c>
      <c r="I47" s="9" t="s">
        <v>323</v>
      </c>
      <c r="J47" s="9" t="s">
        <v>324</v>
      </c>
      <c r="K47" s="9" t="s">
        <v>325</v>
      </c>
      <c r="L47" s="9"/>
      <c r="M47" s="9"/>
      <c r="N47" s="9"/>
      <c r="O47" s="11" t="s">
        <v>101</v>
      </c>
      <c r="P47" s="12">
        <v>24.025073849999998</v>
      </c>
      <c r="Q47" s="12">
        <v>-104.64403625</v>
      </c>
      <c r="R47" s="9" t="s">
        <v>326</v>
      </c>
      <c r="S47" s="13"/>
      <c r="T47" s="13"/>
      <c r="U47" s="13"/>
    </row>
    <row r="48" spans="1:21" x14ac:dyDescent="0.3">
      <c r="A48" s="9">
        <v>47</v>
      </c>
      <c r="B48" s="9" t="s">
        <v>37</v>
      </c>
      <c r="C48" s="9" t="s">
        <v>50</v>
      </c>
      <c r="D48" s="9" t="s">
        <v>94</v>
      </c>
      <c r="E48" s="9" t="s">
        <v>327</v>
      </c>
      <c r="F48" s="9"/>
      <c r="G48" s="9" t="s">
        <v>104</v>
      </c>
      <c r="H48" s="9" t="s">
        <v>97</v>
      </c>
      <c r="I48" s="9" t="s">
        <v>328</v>
      </c>
      <c r="J48" s="9" t="s">
        <v>239</v>
      </c>
      <c r="K48" s="9" t="s">
        <v>240</v>
      </c>
      <c r="L48" s="9" t="s">
        <v>329</v>
      </c>
      <c r="M48" s="9"/>
      <c r="N48" s="9"/>
      <c r="O48" s="11" t="s">
        <v>101</v>
      </c>
      <c r="P48" s="12">
        <v>24.031916379999998</v>
      </c>
      <c r="Q48" s="12">
        <v>-104.67515606000001</v>
      </c>
      <c r="R48" s="9" t="s">
        <v>330</v>
      </c>
      <c r="S48" s="13"/>
      <c r="T48" s="13"/>
      <c r="U48" s="13"/>
    </row>
    <row r="49" spans="1:21" x14ac:dyDescent="0.3">
      <c r="A49" s="9">
        <v>48</v>
      </c>
      <c r="B49" s="9" t="s">
        <v>37</v>
      </c>
      <c r="C49" s="9" t="s">
        <v>50</v>
      </c>
      <c r="D49" s="9" t="s">
        <v>94</v>
      </c>
      <c r="E49" s="9" t="s">
        <v>331</v>
      </c>
      <c r="F49" s="9"/>
      <c r="G49" s="9" t="s">
        <v>104</v>
      </c>
      <c r="H49" s="9" t="s">
        <v>97</v>
      </c>
      <c r="I49" s="9" t="s">
        <v>332</v>
      </c>
      <c r="J49" s="9" t="s">
        <v>324</v>
      </c>
      <c r="K49" s="9" t="s">
        <v>251</v>
      </c>
      <c r="L49" s="9" t="s">
        <v>333</v>
      </c>
      <c r="M49" s="9"/>
      <c r="N49" s="9"/>
      <c r="O49" s="11" t="s">
        <v>101</v>
      </c>
      <c r="P49" s="12">
        <v>24.025221760000001</v>
      </c>
      <c r="Q49" s="12">
        <v>-104.64193647</v>
      </c>
      <c r="R49" s="9" t="s">
        <v>334</v>
      </c>
      <c r="S49" s="13"/>
      <c r="T49" s="13"/>
      <c r="U49" s="13"/>
    </row>
    <row r="50" spans="1:21" x14ac:dyDescent="0.3">
      <c r="A50" s="9">
        <v>49</v>
      </c>
      <c r="B50" s="9" t="s">
        <v>37</v>
      </c>
      <c r="C50" s="9" t="s">
        <v>50</v>
      </c>
      <c r="D50" s="9" t="s">
        <v>94</v>
      </c>
      <c r="E50" s="9" t="s">
        <v>335</v>
      </c>
      <c r="F50" s="9"/>
      <c r="G50" s="9" t="s">
        <v>104</v>
      </c>
      <c r="H50" s="9" t="s">
        <v>97</v>
      </c>
      <c r="I50" s="9" t="s">
        <v>336</v>
      </c>
      <c r="J50" s="9" t="s">
        <v>337</v>
      </c>
      <c r="K50" s="9" t="s">
        <v>338</v>
      </c>
      <c r="L50" s="9"/>
      <c r="M50" s="9"/>
      <c r="N50" s="9"/>
      <c r="O50" s="11" t="s">
        <v>101</v>
      </c>
      <c r="P50" s="12">
        <v>24.064665300000001</v>
      </c>
      <c r="Q50" s="12">
        <v>-104.62124264000001</v>
      </c>
      <c r="R50" s="9" t="s">
        <v>339</v>
      </c>
      <c r="S50" s="13"/>
      <c r="T50" s="13"/>
      <c r="U50" s="13"/>
    </row>
    <row r="51" spans="1:21" x14ac:dyDescent="0.3">
      <c r="A51" s="9">
        <v>50</v>
      </c>
      <c r="B51" s="9" t="s">
        <v>37</v>
      </c>
      <c r="C51" s="9" t="s">
        <v>50</v>
      </c>
      <c r="D51" s="9" t="s">
        <v>94</v>
      </c>
      <c r="E51" s="9" t="s">
        <v>340</v>
      </c>
      <c r="F51" s="9"/>
      <c r="G51" s="9" t="s">
        <v>104</v>
      </c>
      <c r="H51" s="9" t="s">
        <v>97</v>
      </c>
      <c r="I51" s="9" t="s">
        <v>341</v>
      </c>
      <c r="J51" s="9" t="s">
        <v>342</v>
      </c>
      <c r="K51" s="9" t="s">
        <v>287</v>
      </c>
      <c r="L51" s="9"/>
      <c r="M51" s="9"/>
      <c r="N51" s="9"/>
      <c r="O51" s="11" t="s">
        <v>101</v>
      </c>
      <c r="P51" s="12">
        <v>24.00932001</v>
      </c>
      <c r="Q51" s="12">
        <v>-104.70452725</v>
      </c>
      <c r="R51" s="9" t="s">
        <v>343</v>
      </c>
      <c r="S51" s="13"/>
      <c r="T51" s="13"/>
      <c r="U51" s="13"/>
    </row>
    <row r="52" spans="1:21" x14ac:dyDescent="0.3">
      <c r="A52" s="9">
        <v>51</v>
      </c>
      <c r="B52" s="9" t="s">
        <v>37</v>
      </c>
      <c r="C52" s="9" t="s">
        <v>50</v>
      </c>
      <c r="D52" s="9" t="s">
        <v>94</v>
      </c>
      <c r="E52" s="9" t="s">
        <v>340</v>
      </c>
      <c r="F52" s="9"/>
      <c r="G52" s="9" t="s">
        <v>104</v>
      </c>
      <c r="H52" s="9" t="s">
        <v>97</v>
      </c>
      <c r="I52" s="9" t="s">
        <v>344</v>
      </c>
      <c r="J52" s="9" t="s">
        <v>345</v>
      </c>
      <c r="K52" s="9" t="s">
        <v>100</v>
      </c>
      <c r="L52" s="9" t="s">
        <v>346</v>
      </c>
      <c r="M52" s="9"/>
      <c r="N52" s="9"/>
      <c r="O52" s="11" t="s">
        <v>101</v>
      </c>
      <c r="P52" s="12">
        <v>24.003569989999999</v>
      </c>
      <c r="Q52" s="12">
        <v>-104.65010985000001</v>
      </c>
      <c r="R52" s="9" t="s">
        <v>347</v>
      </c>
      <c r="S52" s="13"/>
      <c r="T52" s="13"/>
      <c r="U52" s="13"/>
    </row>
    <row r="53" spans="1:21" x14ac:dyDescent="0.3">
      <c r="A53" s="9">
        <v>52</v>
      </c>
      <c r="B53" s="9" t="s">
        <v>37</v>
      </c>
      <c r="C53" s="9" t="s">
        <v>50</v>
      </c>
      <c r="D53" s="9" t="s">
        <v>94</v>
      </c>
      <c r="E53" s="9" t="s">
        <v>348</v>
      </c>
      <c r="F53" s="9"/>
      <c r="G53" s="9" t="s">
        <v>104</v>
      </c>
      <c r="H53" s="9" t="s">
        <v>97</v>
      </c>
      <c r="I53" s="9" t="s">
        <v>349</v>
      </c>
      <c r="J53" s="9" t="s">
        <v>350</v>
      </c>
      <c r="K53" s="9" t="s">
        <v>351</v>
      </c>
      <c r="L53" s="9" t="s">
        <v>352</v>
      </c>
      <c r="M53" s="9"/>
      <c r="N53" s="9"/>
      <c r="O53" s="11" t="s">
        <v>101</v>
      </c>
      <c r="P53" s="12">
        <v>23.993236899999999</v>
      </c>
      <c r="Q53" s="12">
        <v>-104.66296276999999</v>
      </c>
      <c r="R53" s="9" t="s">
        <v>353</v>
      </c>
      <c r="S53" s="13"/>
      <c r="T53" s="13"/>
      <c r="U53" s="13"/>
    </row>
    <row r="54" spans="1:21" x14ac:dyDescent="0.3">
      <c r="A54" s="9">
        <v>53</v>
      </c>
      <c r="B54" s="9" t="s">
        <v>37</v>
      </c>
      <c r="C54" s="9" t="s">
        <v>50</v>
      </c>
      <c r="D54" s="9" t="s">
        <v>94</v>
      </c>
      <c r="E54" s="9" t="s">
        <v>354</v>
      </c>
      <c r="F54" s="9"/>
      <c r="G54" s="9" t="s">
        <v>104</v>
      </c>
      <c r="H54" s="9" t="s">
        <v>97</v>
      </c>
      <c r="I54" s="9" t="s">
        <v>355</v>
      </c>
      <c r="J54" s="9" t="s">
        <v>356</v>
      </c>
      <c r="K54" s="9" t="s">
        <v>357</v>
      </c>
      <c r="L54" s="9"/>
      <c r="M54" s="9"/>
      <c r="N54" s="9"/>
      <c r="O54" s="11" t="s">
        <v>101</v>
      </c>
      <c r="P54" s="12">
        <v>24.01985882</v>
      </c>
      <c r="Q54" s="12">
        <v>-104.63837896</v>
      </c>
      <c r="R54" s="9" t="s">
        <v>358</v>
      </c>
      <c r="S54" s="13"/>
      <c r="T54" s="13"/>
      <c r="U54" s="13"/>
    </row>
    <row r="55" spans="1:21" x14ac:dyDescent="0.3">
      <c r="A55" s="9">
        <v>54</v>
      </c>
      <c r="B55" s="9" t="s">
        <v>37</v>
      </c>
      <c r="C55" s="9" t="s">
        <v>50</v>
      </c>
      <c r="D55" s="9" t="s">
        <v>94</v>
      </c>
      <c r="E55" s="9" t="s">
        <v>359</v>
      </c>
      <c r="F55" s="9"/>
      <c r="G55" s="9" t="s">
        <v>104</v>
      </c>
      <c r="H55" s="9" t="s">
        <v>97</v>
      </c>
      <c r="I55" s="9" t="s">
        <v>157</v>
      </c>
      <c r="J55" s="9" t="s">
        <v>316</v>
      </c>
      <c r="K55" s="9" t="s">
        <v>135</v>
      </c>
      <c r="L55" s="9"/>
      <c r="M55" s="9"/>
      <c r="N55" s="9"/>
      <c r="O55" s="11" t="s">
        <v>101</v>
      </c>
      <c r="P55" s="12">
        <v>24.032238880000001</v>
      </c>
      <c r="Q55" s="12">
        <v>-104.63238859000001</v>
      </c>
      <c r="R55" s="9" t="s">
        <v>360</v>
      </c>
      <c r="S55" s="13"/>
      <c r="T55" s="13"/>
      <c r="U55" s="13"/>
    </row>
    <row r="56" spans="1:21" x14ac:dyDescent="0.3">
      <c r="A56" s="9">
        <v>55</v>
      </c>
      <c r="B56" s="9" t="s">
        <v>37</v>
      </c>
      <c r="C56" s="9" t="s">
        <v>50</v>
      </c>
      <c r="D56" s="9" t="s">
        <v>94</v>
      </c>
      <c r="E56" s="9" t="s">
        <v>361</v>
      </c>
      <c r="F56" s="9"/>
      <c r="G56" s="9" t="s">
        <v>104</v>
      </c>
      <c r="H56" s="9" t="s">
        <v>97</v>
      </c>
      <c r="I56" s="9" t="s">
        <v>362</v>
      </c>
      <c r="J56" s="9" t="s">
        <v>363</v>
      </c>
      <c r="K56" s="9" t="s">
        <v>364</v>
      </c>
      <c r="L56" s="9" t="s">
        <v>365</v>
      </c>
      <c r="M56" s="9"/>
      <c r="N56" s="9"/>
      <c r="O56" s="11" t="s">
        <v>101</v>
      </c>
      <c r="P56" s="12">
        <v>24.05118517</v>
      </c>
      <c r="Q56" s="12">
        <v>-104.59968569999999</v>
      </c>
      <c r="R56" s="9" t="s">
        <v>366</v>
      </c>
      <c r="S56" s="13"/>
      <c r="T56" s="13"/>
      <c r="U56" s="13"/>
    </row>
    <row r="57" spans="1:21" x14ac:dyDescent="0.3">
      <c r="A57" s="9">
        <v>56</v>
      </c>
      <c r="B57" s="9" t="s">
        <v>37</v>
      </c>
      <c r="C57" s="9" t="s">
        <v>50</v>
      </c>
      <c r="D57" s="9" t="s">
        <v>94</v>
      </c>
      <c r="E57" s="9" t="s">
        <v>367</v>
      </c>
      <c r="F57" s="9"/>
      <c r="G57" s="9" t="s">
        <v>104</v>
      </c>
      <c r="H57" s="9" t="s">
        <v>97</v>
      </c>
      <c r="I57" s="9" t="s">
        <v>368</v>
      </c>
      <c r="J57" s="9" t="s">
        <v>369</v>
      </c>
      <c r="K57" s="9" t="s">
        <v>172</v>
      </c>
      <c r="L57" s="9" t="s">
        <v>370</v>
      </c>
      <c r="M57" s="9"/>
      <c r="N57" s="9"/>
      <c r="O57" s="11" t="s">
        <v>101</v>
      </c>
      <c r="P57" s="12">
        <v>24.06227793</v>
      </c>
      <c r="Q57" s="12">
        <v>-104.58513901000001</v>
      </c>
      <c r="R57" s="9" t="s">
        <v>371</v>
      </c>
      <c r="S57" s="13"/>
      <c r="T57" s="13"/>
      <c r="U57" s="13"/>
    </row>
    <row r="58" spans="1:21" x14ac:dyDescent="0.3">
      <c r="A58" s="9">
        <v>57</v>
      </c>
      <c r="B58" s="9" t="s">
        <v>37</v>
      </c>
      <c r="C58" s="9" t="s">
        <v>50</v>
      </c>
      <c r="D58" s="9" t="s">
        <v>94</v>
      </c>
      <c r="E58" s="9" t="s">
        <v>367</v>
      </c>
      <c r="F58" s="9"/>
      <c r="G58" s="9" t="s">
        <v>104</v>
      </c>
      <c r="H58" s="9" t="s">
        <v>97</v>
      </c>
      <c r="I58" s="9" t="s">
        <v>372</v>
      </c>
      <c r="J58" s="9" t="s">
        <v>273</v>
      </c>
      <c r="K58" s="9" t="s">
        <v>274</v>
      </c>
      <c r="L58" s="9"/>
      <c r="M58" s="9"/>
      <c r="N58" s="9"/>
      <c r="O58" s="11" t="s">
        <v>101</v>
      </c>
      <c r="P58" s="12">
        <v>24.04448957</v>
      </c>
      <c r="Q58" s="12">
        <v>-104.63158665</v>
      </c>
      <c r="R58" s="9" t="s">
        <v>373</v>
      </c>
      <c r="S58" s="13"/>
      <c r="T58" s="13"/>
      <c r="U58" s="13"/>
    </row>
    <row r="59" spans="1:21" x14ac:dyDescent="0.3">
      <c r="A59" s="9">
        <v>58</v>
      </c>
      <c r="B59" s="9" t="s">
        <v>37</v>
      </c>
      <c r="C59" s="9" t="s">
        <v>50</v>
      </c>
      <c r="D59" s="9" t="s">
        <v>94</v>
      </c>
      <c r="E59" s="9" t="s">
        <v>374</v>
      </c>
      <c r="F59" s="9"/>
      <c r="G59" s="9" t="s">
        <v>104</v>
      </c>
      <c r="H59" s="9" t="s">
        <v>97</v>
      </c>
      <c r="I59" s="9" t="s">
        <v>375</v>
      </c>
      <c r="J59" s="9" t="s">
        <v>376</v>
      </c>
      <c r="K59" s="9" t="s">
        <v>190</v>
      </c>
      <c r="L59" s="9" t="s">
        <v>377</v>
      </c>
      <c r="M59" s="9"/>
      <c r="N59" s="9"/>
      <c r="O59" s="11" t="s">
        <v>101</v>
      </c>
      <c r="P59" s="12">
        <v>24.050527599999999</v>
      </c>
      <c r="Q59" s="12">
        <v>-104.62569746</v>
      </c>
      <c r="R59" s="9" t="s">
        <v>378</v>
      </c>
      <c r="S59" s="13"/>
      <c r="T59" s="13"/>
      <c r="U59" s="13"/>
    </row>
    <row r="60" spans="1:21" x14ac:dyDescent="0.3">
      <c r="A60" s="9">
        <v>59</v>
      </c>
      <c r="B60" s="9" t="s">
        <v>37</v>
      </c>
      <c r="C60" s="9" t="s">
        <v>50</v>
      </c>
      <c r="D60" s="9" t="s">
        <v>94</v>
      </c>
      <c r="E60" s="9" t="s">
        <v>379</v>
      </c>
      <c r="F60" s="9"/>
      <c r="G60" s="9" t="s">
        <v>104</v>
      </c>
      <c r="H60" s="9" t="s">
        <v>97</v>
      </c>
      <c r="I60" s="9" t="s">
        <v>380</v>
      </c>
      <c r="J60" s="9" t="s">
        <v>239</v>
      </c>
      <c r="K60" s="9" t="s">
        <v>240</v>
      </c>
      <c r="L60" s="9" t="s">
        <v>381</v>
      </c>
      <c r="M60" s="9"/>
      <c r="N60" s="9"/>
      <c r="O60" s="11" t="s">
        <v>101</v>
      </c>
      <c r="P60" s="12">
        <v>24.029830149999999</v>
      </c>
      <c r="Q60" s="12">
        <v>-104.66930239</v>
      </c>
      <c r="R60" s="9" t="s">
        <v>382</v>
      </c>
      <c r="S60" s="13"/>
      <c r="T60" s="13"/>
      <c r="U60" s="13"/>
    </row>
    <row r="61" spans="1:21" x14ac:dyDescent="0.3">
      <c r="A61" s="9">
        <v>60</v>
      </c>
      <c r="B61" s="9" t="s">
        <v>37</v>
      </c>
      <c r="C61" s="9" t="s">
        <v>50</v>
      </c>
      <c r="D61" s="9" t="s">
        <v>94</v>
      </c>
      <c r="E61" s="9" t="s">
        <v>383</v>
      </c>
      <c r="F61" s="9"/>
      <c r="G61" s="9" t="s">
        <v>104</v>
      </c>
      <c r="H61" s="9" t="s">
        <v>97</v>
      </c>
      <c r="I61" s="9" t="s">
        <v>384</v>
      </c>
      <c r="J61" s="9" t="s">
        <v>385</v>
      </c>
      <c r="K61" s="9" t="s">
        <v>386</v>
      </c>
      <c r="L61" s="9" t="s">
        <v>387</v>
      </c>
      <c r="M61" s="9"/>
      <c r="N61" s="9"/>
      <c r="O61" s="11" t="s">
        <v>101</v>
      </c>
      <c r="P61" s="12">
        <v>24.013963700000001</v>
      </c>
      <c r="Q61" s="12">
        <v>-104.67531674</v>
      </c>
      <c r="R61" s="9" t="s">
        <v>388</v>
      </c>
      <c r="S61" s="13"/>
      <c r="T61" s="13"/>
      <c r="U61" s="13"/>
    </row>
    <row r="62" spans="1:21" x14ac:dyDescent="0.3">
      <c r="A62" s="9">
        <v>61</v>
      </c>
      <c r="B62" s="9" t="s">
        <v>37</v>
      </c>
      <c r="C62" s="9" t="s">
        <v>50</v>
      </c>
      <c r="D62" s="9" t="s">
        <v>94</v>
      </c>
      <c r="E62" s="9" t="s">
        <v>389</v>
      </c>
      <c r="F62" s="9"/>
      <c r="G62" s="9" t="s">
        <v>104</v>
      </c>
      <c r="H62" s="9" t="s">
        <v>97</v>
      </c>
      <c r="I62" s="9" t="s">
        <v>390</v>
      </c>
      <c r="J62" s="9" t="s">
        <v>391</v>
      </c>
      <c r="K62" s="9" t="s">
        <v>392</v>
      </c>
      <c r="L62" s="9"/>
      <c r="M62" s="9"/>
      <c r="N62" s="9"/>
      <c r="O62" s="11" t="s">
        <v>101</v>
      </c>
      <c r="P62" s="12">
        <v>24.010591120000001</v>
      </c>
      <c r="Q62" s="12">
        <v>-104.67523744</v>
      </c>
      <c r="R62" s="9" t="s">
        <v>393</v>
      </c>
      <c r="S62" s="13"/>
      <c r="T62" s="13"/>
      <c r="U62" s="13"/>
    </row>
    <row r="63" spans="1:21" x14ac:dyDescent="0.3">
      <c r="A63" s="9">
        <v>62</v>
      </c>
      <c r="B63" s="9" t="s">
        <v>37</v>
      </c>
      <c r="C63" s="9" t="s">
        <v>50</v>
      </c>
      <c r="D63" s="9" t="s">
        <v>94</v>
      </c>
      <c r="E63" s="9" t="s">
        <v>394</v>
      </c>
      <c r="F63" s="9"/>
      <c r="G63" s="9" t="s">
        <v>104</v>
      </c>
      <c r="H63" s="9" t="s">
        <v>97</v>
      </c>
      <c r="I63" s="9" t="s">
        <v>395</v>
      </c>
      <c r="J63" s="9" t="s">
        <v>396</v>
      </c>
      <c r="K63" s="9" t="s">
        <v>397</v>
      </c>
      <c r="L63" s="9"/>
      <c r="M63" s="9"/>
      <c r="N63" s="9"/>
      <c r="O63" s="11" t="s">
        <v>101</v>
      </c>
      <c r="P63" s="12">
        <v>24.009448620000001</v>
      </c>
      <c r="Q63" s="12">
        <v>-104.66380368</v>
      </c>
      <c r="R63" s="9" t="s">
        <v>398</v>
      </c>
      <c r="S63" s="13"/>
      <c r="T63" s="13"/>
      <c r="U63" s="13"/>
    </row>
    <row r="64" spans="1:21" x14ac:dyDescent="0.3">
      <c r="A64" s="9">
        <v>63</v>
      </c>
      <c r="B64" s="9" t="s">
        <v>37</v>
      </c>
      <c r="C64" s="9" t="s">
        <v>50</v>
      </c>
      <c r="D64" s="9" t="s">
        <v>94</v>
      </c>
      <c r="E64" s="9" t="s">
        <v>399</v>
      </c>
      <c r="F64" s="9"/>
      <c r="G64" s="9" t="s">
        <v>104</v>
      </c>
      <c r="H64" s="9" t="s">
        <v>97</v>
      </c>
      <c r="I64" s="9" t="s">
        <v>400</v>
      </c>
      <c r="J64" s="9" t="s">
        <v>401</v>
      </c>
      <c r="K64" s="9" t="s">
        <v>402</v>
      </c>
      <c r="L64" s="9" t="s">
        <v>403</v>
      </c>
      <c r="M64" s="9"/>
      <c r="N64" s="9"/>
      <c r="O64" s="11" t="s">
        <v>101</v>
      </c>
      <c r="P64" s="12">
        <v>24.058441519999999</v>
      </c>
      <c r="Q64" s="12">
        <v>-104.60428486000001</v>
      </c>
      <c r="R64" s="9" t="s">
        <v>404</v>
      </c>
      <c r="S64" s="13"/>
      <c r="T64" s="13"/>
      <c r="U64" s="13"/>
    </row>
    <row r="65" spans="1:21" x14ac:dyDescent="0.3">
      <c r="A65" s="9">
        <v>64</v>
      </c>
      <c r="B65" s="9" t="s">
        <v>37</v>
      </c>
      <c r="C65" s="9" t="s">
        <v>50</v>
      </c>
      <c r="D65" s="9" t="s">
        <v>94</v>
      </c>
      <c r="E65" s="9" t="s">
        <v>405</v>
      </c>
      <c r="F65" s="9"/>
      <c r="G65" s="9" t="s">
        <v>104</v>
      </c>
      <c r="H65" s="9" t="s">
        <v>97</v>
      </c>
      <c r="I65" s="9" t="s">
        <v>406</v>
      </c>
      <c r="J65" s="9" t="s">
        <v>407</v>
      </c>
      <c r="K65" s="9" t="s">
        <v>408</v>
      </c>
      <c r="L65" s="9"/>
      <c r="M65" s="9"/>
      <c r="N65" s="9"/>
      <c r="O65" s="11" t="s">
        <v>101</v>
      </c>
      <c r="P65" s="12">
        <v>24.003704729999999</v>
      </c>
      <c r="Q65" s="12">
        <v>-104.60843434</v>
      </c>
      <c r="R65" s="9" t="s">
        <v>409</v>
      </c>
      <c r="S65" s="13"/>
      <c r="T65" s="13"/>
      <c r="U65" s="13"/>
    </row>
    <row r="66" spans="1:21" x14ac:dyDescent="0.3">
      <c r="A66" s="9">
        <v>65</v>
      </c>
      <c r="B66" s="9" t="s">
        <v>37</v>
      </c>
      <c r="C66" s="9" t="s">
        <v>50</v>
      </c>
      <c r="D66" s="9" t="s">
        <v>94</v>
      </c>
      <c r="E66" s="9" t="s">
        <v>410</v>
      </c>
      <c r="F66" s="9"/>
      <c r="G66" s="9" t="s">
        <v>104</v>
      </c>
      <c r="H66" s="9" t="s">
        <v>97</v>
      </c>
      <c r="I66" s="9" t="s">
        <v>411</v>
      </c>
      <c r="J66" s="9" t="s">
        <v>412</v>
      </c>
      <c r="K66" s="9" t="s">
        <v>364</v>
      </c>
      <c r="L66" s="9" t="s">
        <v>413</v>
      </c>
      <c r="M66" s="9"/>
      <c r="N66" s="9"/>
      <c r="O66" s="11" t="s">
        <v>101</v>
      </c>
      <c r="P66" s="12">
        <v>24.05355217</v>
      </c>
      <c r="Q66" s="12">
        <v>-104.59839943</v>
      </c>
      <c r="R66" s="9" t="s">
        <v>414</v>
      </c>
      <c r="S66" s="13"/>
      <c r="T66" s="13"/>
      <c r="U66" s="13"/>
    </row>
    <row r="67" spans="1:21" x14ac:dyDescent="0.3">
      <c r="A67" s="9">
        <v>66</v>
      </c>
      <c r="B67" s="9" t="s">
        <v>37</v>
      </c>
      <c r="C67" s="9" t="s">
        <v>50</v>
      </c>
      <c r="D67" s="9" t="s">
        <v>94</v>
      </c>
      <c r="E67" s="9" t="s">
        <v>415</v>
      </c>
      <c r="F67" s="9"/>
      <c r="G67" s="9" t="s">
        <v>104</v>
      </c>
      <c r="H67" s="9" t="s">
        <v>97</v>
      </c>
      <c r="I67" s="9" t="s">
        <v>416</v>
      </c>
      <c r="J67" s="9" t="s">
        <v>342</v>
      </c>
      <c r="K67" s="9" t="s">
        <v>287</v>
      </c>
      <c r="L67" s="9"/>
      <c r="M67" s="9"/>
      <c r="N67" s="9"/>
      <c r="O67" s="11" t="s">
        <v>101</v>
      </c>
      <c r="P67" s="12">
        <v>24.009154379999998</v>
      </c>
      <c r="Q67" s="12">
        <v>-104.70212216</v>
      </c>
      <c r="R67" s="9" t="s">
        <v>417</v>
      </c>
      <c r="S67" s="13"/>
      <c r="T67" s="13"/>
      <c r="U67" s="13"/>
    </row>
    <row r="68" spans="1:21" x14ac:dyDescent="0.3">
      <c r="A68" s="9">
        <v>67</v>
      </c>
      <c r="B68" s="9" t="s">
        <v>37</v>
      </c>
      <c r="C68" s="9" t="s">
        <v>50</v>
      </c>
      <c r="D68" s="9" t="s">
        <v>94</v>
      </c>
      <c r="E68" s="9" t="s">
        <v>418</v>
      </c>
      <c r="F68" s="9"/>
      <c r="G68" s="9" t="s">
        <v>104</v>
      </c>
      <c r="H68" s="9" t="s">
        <v>97</v>
      </c>
      <c r="I68" s="9" t="s">
        <v>419</v>
      </c>
      <c r="J68" s="9" t="s">
        <v>420</v>
      </c>
      <c r="K68" s="9" t="s">
        <v>402</v>
      </c>
      <c r="L68" s="9"/>
      <c r="M68" s="9"/>
      <c r="N68" s="9"/>
      <c r="O68" s="11" t="s">
        <v>101</v>
      </c>
      <c r="P68" s="12">
        <v>24.062191970000001</v>
      </c>
      <c r="Q68" s="12">
        <v>-104.59547884</v>
      </c>
      <c r="R68" s="9" t="s">
        <v>421</v>
      </c>
      <c r="S68" s="13"/>
      <c r="T68" s="13"/>
      <c r="U68" s="13"/>
    </row>
    <row r="69" spans="1:21" x14ac:dyDescent="0.3">
      <c r="A69" s="9">
        <v>68</v>
      </c>
      <c r="B69" s="9" t="s">
        <v>37</v>
      </c>
      <c r="C69" s="9" t="s">
        <v>50</v>
      </c>
      <c r="D69" s="9" t="s">
        <v>94</v>
      </c>
      <c r="E69" s="9" t="s">
        <v>418</v>
      </c>
      <c r="F69" s="9"/>
      <c r="G69" s="9" t="s">
        <v>104</v>
      </c>
      <c r="H69" s="9" t="s">
        <v>97</v>
      </c>
      <c r="I69" s="9" t="s">
        <v>422</v>
      </c>
      <c r="J69" s="9" t="s">
        <v>423</v>
      </c>
      <c r="K69" s="9" t="s">
        <v>424</v>
      </c>
      <c r="L69" s="9"/>
      <c r="M69" s="9"/>
      <c r="N69" s="9"/>
      <c r="O69" s="11" t="s">
        <v>101</v>
      </c>
      <c r="P69" s="12">
        <v>24.019950399999999</v>
      </c>
      <c r="Q69" s="12">
        <v>-104.65761611000001</v>
      </c>
      <c r="R69" s="9" t="s">
        <v>425</v>
      </c>
      <c r="S69" s="13"/>
      <c r="T69" s="13"/>
      <c r="U69" s="13"/>
    </row>
    <row r="70" spans="1:21" x14ac:dyDescent="0.3">
      <c r="A70" s="9">
        <v>69</v>
      </c>
      <c r="B70" s="9" t="s">
        <v>37</v>
      </c>
      <c r="C70" s="9" t="s">
        <v>50</v>
      </c>
      <c r="D70" s="9" t="s">
        <v>94</v>
      </c>
      <c r="E70" s="9" t="s">
        <v>426</v>
      </c>
      <c r="F70" s="9"/>
      <c r="G70" s="9" t="s">
        <v>104</v>
      </c>
      <c r="H70" s="9" t="s">
        <v>97</v>
      </c>
      <c r="I70" s="9" t="s">
        <v>427</v>
      </c>
      <c r="J70" s="9" t="s">
        <v>428</v>
      </c>
      <c r="K70" s="9" t="s">
        <v>307</v>
      </c>
      <c r="L70" s="9" t="s">
        <v>429</v>
      </c>
      <c r="M70" s="9"/>
      <c r="N70" s="9"/>
      <c r="O70" s="11" t="s">
        <v>101</v>
      </c>
      <c r="P70" s="12">
        <v>24.06309074</v>
      </c>
      <c r="Q70" s="12">
        <v>-104.60271745999999</v>
      </c>
      <c r="R70" s="9" t="s">
        <v>430</v>
      </c>
      <c r="S70" s="13"/>
      <c r="T70" s="13"/>
      <c r="U70" s="13"/>
    </row>
    <row r="71" spans="1:21" x14ac:dyDescent="0.3">
      <c r="A71" s="9">
        <v>70</v>
      </c>
      <c r="B71" s="9" t="s">
        <v>37</v>
      </c>
      <c r="C71" s="9" t="s">
        <v>50</v>
      </c>
      <c r="D71" s="9" t="s">
        <v>94</v>
      </c>
      <c r="E71" s="9" t="s">
        <v>431</v>
      </c>
      <c r="F71" s="9"/>
      <c r="G71" s="9" t="s">
        <v>104</v>
      </c>
      <c r="H71" s="9" t="s">
        <v>97</v>
      </c>
      <c r="I71" s="9" t="s">
        <v>432</v>
      </c>
      <c r="J71" s="9" t="s">
        <v>433</v>
      </c>
      <c r="K71" s="9" t="s">
        <v>434</v>
      </c>
      <c r="L71" s="9" t="s">
        <v>435</v>
      </c>
      <c r="M71" s="9"/>
      <c r="N71" s="9"/>
      <c r="O71" s="11" t="s">
        <v>101</v>
      </c>
      <c r="P71" s="12">
        <v>24.037146799999999</v>
      </c>
      <c r="Q71" s="12">
        <v>-104.68168409</v>
      </c>
      <c r="R71" s="9" t="s">
        <v>436</v>
      </c>
      <c r="S71" s="13"/>
      <c r="T71" s="13"/>
      <c r="U71" s="13"/>
    </row>
    <row r="72" spans="1:21" x14ac:dyDescent="0.3">
      <c r="A72" s="9">
        <v>71</v>
      </c>
      <c r="B72" s="9" t="s">
        <v>37</v>
      </c>
      <c r="C72" s="9" t="s">
        <v>50</v>
      </c>
      <c r="D72" s="9" t="s">
        <v>94</v>
      </c>
      <c r="E72" s="9" t="s">
        <v>437</v>
      </c>
      <c r="F72" s="9"/>
      <c r="G72" s="9" t="s">
        <v>104</v>
      </c>
      <c r="H72" s="9" t="s">
        <v>438</v>
      </c>
      <c r="I72" s="9" t="s">
        <v>439</v>
      </c>
      <c r="J72" s="9" t="s">
        <v>171</v>
      </c>
      <c r="K72" s="9" t="s">
        <v>172</v>
      </c>
      <c r="L72" s="9" t="s">
        <v>440</v>
      </c>
      <c r="M72" s="9"/>
      <c r="N72" s="9"/>
      <c r="O72" s="11" t="s">
        <v>101</v>
      </c>
      <c r="P72" s="12">
        <v>24.055979319999999</v>
      </c>
      <c r="Q72" s="12">
        <v>-104.59721015</v>
      </c>
      <c r="R72" s="9" t="s">
        <v>441</v>
      </c>
      <c r="S72" s="13"/>
      <c r="T72" s="13"/>
      <c r="U72" s="13"/>
    </row>
    <row r="73" spans="1:21" x14ac:dyDescent="0.3">
      <c r="A73" s="9">
        <v>72</v>
      </c>
      <c r="B73" s="9" t="s">
        <v>37</v>
      </c>
      <c r="C73" s="9" t="s">
        <v>50</v>
      </c>
      <c r="D73" s="9" t="s">
        <v>94</v>
      </c>
      <c r="E73" s="9" t="s">
        <v>442</v>
      </c>
      <c r="F73" s="9"/>
      <c r="G73" s="9" t="s">
        <v>104</v>
      </c>
      <c r="H73" s="9" t="s">
        <v>97</v>
      </c>
      <c r="I73" s="9" t="s">
        <v>443</v>
      </c>
      <c r="J73" s="9" t="s">
        <v>433</v>
      </c>
      <c r="K73" s="9" t="s">
        <v>434</v>
      </c>
      <c r="L73" s="9" t="s">
        <v>444</v>
      </c>
      <c r="M73" s="9"/>
      <c r="N73" s="9"/>
      <c r="O73" s="11" t="s">
        <v>101</v>
      </c>
      <c r="P73" s="12">
        <v>24.040116940000001</v>
      </c>
      <c r="Q73" s="12">
        <v>-104.6844488</v>
      </c>
      <c r="R73" s="9" t="s">
        <v>445</v>
      </c>
      <c r="S73" s="13"/>
      <c r="T73" s="13"/>
      <c r="U73" s="13"/>
    </row>
    <row r="74" spans="1:21" x14ac:dyDescent="0.3">
      <c r="A74" s="9">
        <v>73</v>
      </c>
      <c r="B74" s="9" t="s">
        <v>37</v>
      </c>
      <c r="C74" s="9" t="s">
        <v>50</v>
      </c>
      <c r="D74" s="9" t="s">
        <v>94</v>
      </c>
      <c r="E74" s="9" t="s">
        <v>446</v>
      </c>
      <c r="F74" s="9"/>
      <c r="G74" s="9" t="s">
        <v>104</v>
      </c>
      <c r="H74" s="9" t="s">
        <v>97</v>
      </c>
      <c r="I74" s="9" t="s">
        <v>447</v>
      </c>
      <c r="J74" s="9" t="s">
        <v>448</v>
      </c>
      <c r="K74" s="9" t="s">
        <v>100</v>
      </c>
      <c r="L74" s="9" t="s">
        <v>449</v>
      </c>
      <c r="M74" s="9"/>
      <c r="N74" s="9"/>
      <c r="O74" s="11" t="s">
        <v>101</v>
      </c>
      <c r="P74" s="12">
        <v>24.01079691</v>
      </c>
      <c r="Q74" s="12">
        <v>-104.63247887999999</v>
      </c>
      <c r="R74" s="9" t="s">
        <v>450</v>
      </c>
      <c r="S74" s="13"/>
      <c r="T74" s="13"/>
      <c r="U74" s="13"/>
    </row>
    <row r="75" spans="1:21" x14ac:dyDescent="0.3">
      <c r="A75" s="9">
        <v>74</v>
      </c>
      <c r="B75" s="9" t="s">
        <v>37</v>
      </c>
      <c r="C75" s="9" t="s">
        <v>50</v>
      </c>
      <c r="D75" s="9" t="s">
        <v>94</v>
      </c>
      <c r="E75" s="9" t="s">
        <v>451</v>
      </c>
      <c r="F75" s="9"/>
      <c r="G75" s="9" t="s">
        <v>104</v>
      </c>
      <c r="H75" s="9" t="s">
        <v>97</v>
      </c>
      <c r="I75" s="9" t="s">
        <v>452</v>
      </c>
      <c r="J75" s="9" t="s">
        <v>453</v>
      </c>
      <c r="K75" s="9" t="s">
        <v>454</v>
      </c>
      <c r="L75" s="9" t="s">
        <v>440</v>
      </c>
      <c r="M75" s="9" t="s">
        <v>455</v>
      </c>
      <c r="N75" s="9"/>
      <c r="O75" s="11" t="s">
        <v>101</v>
      </c>
      <c r="P75" s="12">
        <v>24.03939055</v>
      </c>
      <c r="Q75" s="12">
        <v>-104.61956341</v>
      </c>
      <c r="R75" s="9" t="s">
        <v>456</v>
      </c>
      <c r="S75" s="13"/>
      <c r="T75" s="13"/>
      <c r="U75" s="13"/>
    </row>
    <row r="76" spans="1:21" x14ac:dyDescent="0.3">
      <c r="A76" s="9">
        <v>75</v>
      </c>
      <c r="B76" s="9" t="s">
        <v>37</v>
      </c>
      <c r="C76" s="9" t="s">
        <v>50</v>
      </c>
      <c r="D76" s="9" t="s">
        <v>94</v>
      </c>
      <c r="E76" s="9" t="s">
        <v>457</v>
      </c>
      <c r="F76" s="9"/>
      <c r="G76" s="9" t="s">
        <v>104</v>
      </c>
      <c r="H76" s="9" t="s">
        <v>97</v>
      </c>
      <c r="I76" s="9" t="s">
        <v>458</v>
      </c>
      <c r="J76" s="9" t="s">
        <v>401</v>
      </c>
      <c r="K76" s="9" t="s">
        <v>402</v>
      </c>
      <c r="L76" s="9" t="s">
        <v>459</v>
      </c>
      <c r="M76" s="9"/>
      <c r="N76" s="9"/>
      <c r="O76" s="11" t="s">
        <v>101</v>
      </c>
      <c r="P76" s="12">
        <v>24.060112090000001</v>
      </c>
      <c r="Q76" s="12">
        <v>-104.60094587</v>
      </c>
      <c r="R76" s="9" t="s">
        <v>460</v>
      </c>
      <c r="S76" s="13"/>
      <c r="T76" s="13"/>
      <c r="U76" s="13"/>
    </row>
    <row r="77" spans="1:21" x14ac:dyDescent="0.3">
      <c r="A77" s="9">
        <v>76</v>
      </c>
      <c r="B77" s="9" t="s">
        <v>37</v>
      </c>
      <c r="C77" s="9" t="s">
        <v>50</v>
      </c>
      <c r="D77" s="9" t="s">
        <v>94</v>
      </c>
      <c r="E77" s="9" t="s">
        <v>461</v>
      </c>
      <c r="F77" s="9"/>
      <c r="G77" s="9" t="s">
        <v>104</v>
      </c>
      <c r="H77" s="9" t="s">
        <v>97</v>
      </c>
      <c r="I77" s="9" t="s">
        <v>462</v>
      </c>
      <c r="J77" s="9" t="s">
        <v>239</v>
      </c>
      <c r="K77" s="9" t="s">
        <v>463</v>
      </c>
      <c r="L77" s="9"/>
      <c r="M77" s="9"/>
      <c r="N77" s="9"/>
      <c r="O77" s="11" t="s">
        <v>101</v>
      </c>
      <c r="P77" s="12">
        <v>24.029942120000001</v>
      </c>
      <c r="Q77" s="12">
        <v>-104.65383523</v>
      </c>
      <c r="R77" s="9" t="s">
        <v>464</v>
      </c>
      <c r="S77" s="13"/>
      <c r="T77" s="13"/>
      <c r="U77" s="13"/>
    </row>
    <row r="78" spans="1:21" x14ac:dyDescent="0.3">
      <c r="A78" s="9">
        <v>77</v>
      </c>
      <c r="B78" s="9" t="s">
        <v>37</v>
      </c>
      <c r="C78" s="9" t="s">
        <v>50</v>
      </c>
      <c r="D78" s="9" t="s">
        <v>94</v>
      </c>
      <c r="E78" s="9" t="s">
        <v>465</v>
      </c>
      <c r="F78" s="9"/>
      <c r="G78" s="9" t="s">
        <v>104</v>
      </c>
      <c r="H78" s="9" t="s">
        <v>97</v>
      </c>
      <c r="I78" s="9" t="s">
        <v>466</v>
      </c>
      <c r="J78" s="9" t="s">
        <v>467</v>
      </c>
      <c r="K78" s="9" t="s">
        <v>468</v>
      </c>
      <c r="L78" s="9" t="s">
        <v>469</v>
      </c>
      <c r="M78" s="9"/>
      <c r="N78" s="9"/>
      <c r="O78" s="11" t="s">
        <v>101</v>
      </c>
      <c r="P78" s="12">
        <v>24.027292320000001</v>
      </c>
      <c r="Q78" s="12">
        <v>-104.62219068</v>
      </c>
      <c r="R78" s="9" t="s">
        <v>470</v>
      </c>
      <c r="S78" s="13"/>
      <c r="T78" s="13"/>
      <c r="U78" s="13"/>
    </row>
    <row r="79" spans="1:21" x14ac:dyDescent="0.3">
      <c r="A79" s="9">
        <v>78</v>
      </c>
      <c r="B79" s="9" t="s">
        <v>37</v>
      </c>
      <c r="C79" s="9" t="s">
        <v>50</v>
      </c>
      <c r="D79" s="9" t="s">
        <v>94</v>
      </c>
      <c r="E79" s="9" t="s">
        <v>471</v>
      </c>
      <c r="F79" s="9"/>
      <c r="G79" s="9" t="s">
        <v>104</v>
      </c>
      <c r="H79" s="9" t="s">
        <v>97</v>
      </c>
      <c r="I79" s="9" t="s">
        <v>472</v>
      </c>
      <c r="J79" s="9" t="s">
        <v>473</v>
      </c>
      <c r="K79" s="9" t="s">
        <v>474</v>
      </c>
      <c r="L79" s="9" t="s">
        <v>475</v>
      </c>
      <c r="M79" s="9" t="s">
        <v>476</v>
      </c>
      <c r="N79" s="9"/>
      <c r="O79" s="11" t="s">
        <v>101</v>
      </c>
      <c r="P79" s="12">
        <v>24.006656849999999</v>
      </c>
      <c r="Q79" s="12">
        <v>-104.64430545</v>
      </c>
      <c r="R79" s="9" t="s">
        <v>477</v>
      </c>
      <c r="S79" s="13"/>
      <c r="T79" s="13"/>
      <c r="U79" s="13"/>
    </row>
    <row r="80" spans="1:21" x14ac:dyDescent="0.3">
      <c r="A80" s="9">
        <v>79</v>
      </c>
      <c r="B80" s="9" t="s">
        <v>37</v>
      </c>
      <c r="C80" s="9" t="s">
        <v>50</v>
      </c>
      <c r="D80" s="9" t="s">
        <v>94</v>
      </c>
      <c r="E80" s="9" t="s">
        <v>478</v>
      </c>
      <c r="F80" s="9"/>
      <c r="G80" s="9" t="s">
        <v>104</v>
      </c>
      <c r="H80" s="9" t="s">
        <v>97</v>
      </c>
      <c r="I80" s="9" t="s">
        <v>479</v>
      </c>
      <c r="J80" s="9" t="s">
        <v>480</v>
      </c>
      <c r="K80" s="9" t="s">
        <v>210</v>
      </c>
      <c r="L80" s="9" t="s">
        <v>481</v>
      </c>
      <c r="M80" s="9"/>
      <c r="N80" s="9"/>
      <c r="O80" s="11" t="s">
        <v>101</v>
      </c>
      <c r="P80" s="12">
        <v>24.017059140000001</v>
      </c>
      <c r="Q80" s="12">
        <v>-104.68342589</v>
      </c>
      <c r="R80" s="9" t="s">
        <v>482</v>
      </c>
      <c r="S80" s="13"/>
      <c r="T80" s="13"/>
      <c r="U80" s="13"/>
    </row>
    <row r="81" spans="1:21" x14ac:dyDescent="0.3">
      <c r="A81" s="9">
        <v>80</v>
      </c>
      <c r="B81" s="9" t="s">
        <v>37</v>
      </c>
      <c r="C81" s="9" t="s">
        <v>50</v>
      </c>
      <c r="D81" s="9" t="s">
        <v>94</v>
      </c>
      <c r="E81" s="9" t="s">
        <v>483</v>
      </c>
      <c r="F81" s="9"/>
      <c r="G81" s="9" t="s">
        <v>104</v>
      </c>
      <c r="H81" s="9" t="s">
        <v>97</v>
      </c>
      <c r="I81" s="9" t="s">
        <v>484</v>
      </c>
      <c r="J81" s="9" t="s">
        <v>485</v>
      </c>
      <c r="K81" s="9" t="s">
        <v>486</v>
      </c>
      <c r="L81" s="9" t="s">
        <v>487</v>
      </c>
      <c r="M81" s="9"/>
      <c r="N81" s="9"/>
      <c r="O81" s="11" t="s">
        <v>101</v>
      </c>
      <c r="P81" s="12">
        <v>24.023578359999998</v>
      </c>
      <c r="Q81" s="12">
        <v>-104.70565233000001</v>
      </c>
      <c r="R81" s="9" t="s">
        <v>488</v>
      </c>
      <c r="S81" s="13"/>
      <c r="T81" s="13"/>
      <c r="U81" s="13"/>
    </row>
    <row r="82" spans="1:21" x14ac:dyDescent="0.3">
      <c r="A82" s="9">
        <v>81</v>
      </c>
      <c r="B82" s="9" t="s">
        <v>37</v>
      </c>
      <c r="C82" s="9" t="s">
        <v>50</v>
      </c>
      <c r="D82" s="9" t="s">
        <v>94</v>
      </c>
      <c r="E82" s="9" t="s">
        <v>489</v>
      </c>
      <c r="F82" s="9"/>
      <c r="G82" s="9" t="s">
        <v>104</v>
      </c>
      <c r="H82" s="9" t="s">
        <v>97</v>
      </c>
      <c r="I82" s="9" t="s">
        <v>490</v>
      </c>
      <c r="J82" s="9" t="s">
        <v>239</v>
      </c>
      <c r="K82" s="9" t="s">
        <v>240</v>
      </c>
      <c r="L82" s="9"/>
      <c r="M82" s="9"/>
      <c r="N82" s="9"/>
      <c r="O82" s="11" t="s">
        <v>101</v>
      </c>
      <c r="P82" s="12">
        <v>24.028839779999998</v>
      </c>
      <c r="Q82" s="12">
        <v>-104.66555971</v>
      </c>
      <c r="R82" s="9" t="s">
        <v>491</v>
      </c>
      <c r="S82" s="13"/>
      <c r="T82" s="13"/>
      <c r="U82" s="13"/>
    </row>
    <row r="83" spans="1:21" x14ac:dyDescent="0.3">
      <c r="A83" s="9">
        <v>82</v>
      </c>
      <c r="B83" s="9" t="s">
        <v>37</v>
      </c>
      <c r="C83" s="9" t="s">
        <v>50</v>
      </c>
      <c r="D83" s="9" t="s">
        <v>94</v>
      </c>
      <c r="E83" s="9" t="s">
        <v>492</v>
      </c>
      <c r="F83" s="9"/>
      <c r="G83" s="9" t="s">
        <v>104</v>
      </c>
      <c r="H83" s="9" t="s">
        <v>97</v>
      </c>
      <c r="I83" s="9" t="s">
        <v>493</v>
      </c>
      <c r="J83" s="9" t="s">
        <v>494</v>
      </c>
      <c r="K83" s="9" t="s">
        <v>495</v>
      </c>
      <c r="L83" s="9" t="s">
        <v>496</v>
      </c>
      <c r="M83" s="9"/>
      <c r="N83" s="9"/>
      <c r="O83" s="11" t="s">
        <v>101</v>
      </c>
      <c r="P83" s="12">
        <v>24.010824360000001</v>
      </c>
      <c r="Q83" s="12">
        <v>-104.62824609</v>
      </c>
      <c r="R83" s="9" t="s">
        <v>497</v>
      </c>
      <c r="S83" s="13"/>
      <c r="T83" s="13"/>
      <c r="U83" s="13"/>
    </row>
    <row r="84" spans="1:21" x14ac:dyDescent="0.3">
      <c r="A84" s="9">
        <v>83</v>
      </c>
      <c r="B84" s="9" t="s">
        <v>37</v>
      </c>
      <c r="C84" s="9" t="s">
        <v>50</v>
      </c>
      <c r="D84" s="9" t="s">
        <v>94</v>
      </c>
      <c r="E84" s="9" t="s">
        <v>498</v>
      </c>
      <c r="F84" s="9"/>
      <c r="G84" s="9" t="s">
        <v>104</v>
      </c>
      <c r="H84" s="9" t="s">
        <v>97</v>
      </c>
      <c r="I84" s="9" t="s">
        <v>499</v>
      </c>
      <c r="J84" s="9" t="s">
        <v>500</v>
      </c>
      <c r="K84" s="9" t="s">
        <v>226</v>
      </c>
      <c r="L84" s="9" t="s">
        <v>501</v>
      </c>
      <c r="M84" s="9" t="s">
        <v>502</v>
      </c>
      <c r="N84" s="9"/>
      <c r="O84" s="11" t="s">
        <v>101</v>
      </c>
      <c r="P84" s="12">
        <v>24.030006180000001</v>
      </c>
      <c r="Q84" s="12">
        <v>-104.6482369</v>
      </c>
      <c r="R84" s="9" t="s">
        <v>503</v>
      </c>
      <c r="S84" s="13"/>
      <c r="T84" s="13"/>
      <c r="U84" s="13"/>
    </row>
    <row r="85" spans="1:21" x14ac:dyDescent="0.3">
      <c r="A85" s="9">
        <v>84</v>
      </c>
      <c r="B85" s="9" t="s">
        <v>37</v>
      </c>
      <c r="C85" s="9" t="s">
        <v>50</v>
      </c>
      <c r="D85" s="9" t="s">
        <v>94</v>
      </c>
      <c r="E85" s="9" t="s">
        <v>504</v>
      </c>
      <c r="F85" s="9" t="s">
        <v>504</v>
      </c>
      <c r="G85" s="9" t="s">
        <v>104</v>
      </c>
      <c r="H85" s="9" t="s">
        <v>97</v>
      </c>
      <c r="I85" s="9" t="s">
        <v>505</v>
      </c>
      <c r="J85" s="9" t="s">
        <v>506</v>
      </c>
      <c r="K85" s="9" t="s">
        <v>140</v>
      </c>
      <c r="L85" s="9"/>
      <c r="M85" s="9"/>
      <c r="N85" s="9"/>
      <c r="O85" s="11" t="s">
        <v>101</v>
      </c>
      <c r="P85" s="12">
        <v>24.012167269999999</v>
      </c>
      <c r="Q85" s="12">
        <v>-104.69104369999999</v>
      </c>
      <c r="R85" s="9" t="s">
        <v>507</v>
      </c>
      <c r="S85" s="13"/>
      <c r="T85" s="13"/>
      <c r="U85" s="13"/>
    </row>
    <row r="86" spans="1:21" x14ac:dyDescent="0.3">
      <c r="A86" s="9">
        <v>85</v>
      </c>
      <c r="B86" s="9" t="s">
        <v>37</v>
      </c>
      <c r="C86" s="9" t="s">
        <v>50</v>
      </c>
      <c r="D86" s="9" t="s">
        <v>94</v>
      </c>
      <c r="E86" s="9" t="s">
        <v>504</v>
      </c>
      <c r="F86" s="9" t="s">
        <v>504</v>
      </c>
      <c r="G86" s="9" t="s">
        <v>104</v>
      </c>
      <c r="H86" s="9" t="s">
        <v>438</v>
      </c>
      <c r="I86" s="9" t="s">
        <v>508</v>
      </c>
      <c r="J86" s="9" t="s">
        <v>239</v>
      </c>
      <c r="K86" s="9" t="s">
        <v>240</v>
      </c>
      <c r="L86" s="9" t="s">
        <v>509</v>
      </c>
      <c r="M86" s="9" t="s">
        <v>510</v>
      </c>
      <c r="N86" s="9"/>
      <c r="O86" s="11" t="s">
        <v>101</v>
      </c>
      <c r="P86" s="12">
        <v>24.025344950000001</v>
      </c>
      <c r="Q86" s="12">
        <v>-104.65269207</v>
      </c>
      <c r="R86" s="9" t="s">
        <v>511</v>
      </c>
      <c r="S86" s="13"/>
      <c r="T86" s="13"/>
      <c r="U86" s="13"/>
    </row>
    <row r="87" spans="1:21" x14ac:dyDescent="0.3">
      <c r="A87" s="9">
        <v>86</v>
      </c>
      <c r="B87" s="9" t="s">
        <v>37</v>
      </c>
      <c r="C87" s="9" t="s">
        <v>50</v>
      </c>
      <c r="D87" s="9" t="s">
        <v>94</v>
      </c>
      <c r="E87" s="9" t="s">
        <v>512</v>
      </c>
      <c r="F87" s="9"/>
      <c r="G87" s="9" t="s">
        <v>104</v>
      </c>
      <c r="H87" s="9" t="s">
        <v>97</v>
      </c>
      <c r="I87" s="9" t="s">
        <v>513</v>
      </c>
      <c r="J87" s="9" t="s">
        <v>433</v>
      </c>
      <c r="K87" s="9" t="s">
        <v>434</v>
      </c>
      <c r="L87" s="9" t="s">
        <v>514</v>
      </c>
      <c r="M87" s="9"/>
      <c r="N87" s="9"/>
      <c r="O87" s="11" t="s">
        <v>101</v>
      </c>
      <c r="P87" s="12">
        <v>24.035248620000001</v>
      </c>
      <c r="Q87" s="12">
        <v>-104.68584906</v>
      </c>
      <c r="R87" s="9" t="s">
        <v>515</v>
      </c>
      <c r="S87" s="13"/>
      <c r="T87" s="13"/>
      <c r="U87" s="13"/>
    </row>
    <row r="88" spans="1:21" x14ac:dyDescent="0.3">
      <c r="A88" s="9">
        <v>87</v>
      </c>
      <c r="B88" s="9" t="s">
        <v>37</v>
      </c>
      <c r="C88" s="9" t="s">
        <v>50</v>
      </c>
      <c r="D88" s="9" t="s">
        <v>94</v>
      </c>
      <c r="E88" s="9" t="s">
        <v>516</v>
      </c>
      <c r="F88" s="9" t="s">
        <v>517</v>
      </c>
      <c r="G88" s="9" t="s">
        <v>104</v>
      </c>
      <c r="H88" s="9" t="s">
        <v>97</v>
      </c>
      <c r="I88" s="9" t="s">
        <v>518</v>
      </c>
      <c r="J88" s="9" t="s">
        <v>519</v>
      </c>
      <c r="K88" s="9" t="s">
        <v>112</v>
      </c>
      <c r="L88" s="9"/>
      <c r="M88" s="9"/>
      <c r="N88" s="9"/>
      <c r="O88" s="11" t="s">
        <v>101</v>
      </c>
      <c r="P88" s="12">
        <v>24.005910180000001</v>
      </c>
      <c r="Q88" s="12">
        <v>-104.65227589</v>
      </c>
      <c r="R88" s="9" t="s">
        <v>520</v>
      </c>
      <c r="S88" s="13"/>
      <c r="T88" s="13"/>
      <c r="U88" s="13"/>
    </row>
    <row r="89" spans="1:21" x14ac:dyDescent="0.3">
      <c r="A89" s="9">
        <v>88</v>
      </c>
      <c r="B89" s="9" t="s">
        <v>37</v>
      </c>
      <c r="C89" s="9" t="s">
        <v>50</v>
      </c>
      <c r="D89" s="9" t="s">
        <v>94</v>
      </c>
      <c r="E89" s="9" t="s">
        <v>521</v>
      </c>
      <c r="F89" s="9"/>
      <c r="G89" s="9" t="s">
        <v>104</v>
      </c>
      <c r="H89" s="9" t="s">
        <v>97</v>
      </c>
      <c r="I89" s="9" t="s">
        <v>522</v>
      </c>
      <c r="J89" s="9" t="s">
        <v>523</v>
      </c>
      <c r="K89" s="9" t="s">
        <v>424</v>
      </c>
      <c r="L89" s="9" t="s">
        <v>524</v>
      </c>
      <c r="M89" s="9"/>
      <c r="N89" s="9"/>
      <c r="O89" s="11" t="s">
        <v>101</v>
      </c>
      <c r="P89" s="12">
        <v>24.019419800000001</v>
      </c>
      <c r="Q89" s="12">
        <v>-104.65619488</v>
      </c>
      <c r="R89" s="9" t="s">
        <v>525</v>
      </c>
      <c r="S89" s="13"/>
      <c r="T89" s="13"/>
      <c r="U89" s="13"/>
    </row>
    <row r="90" spans="1:21" x14ac:dyDescent="0.3">
      <c r="A90" s="9">
        <v>89</v>
      </c>
      <c r="B90" s="9" t="s">
        <v>37</v>
      </c>
      <c r="C90" s="9" t="s">
        <v>50</v>
      </c>
      <c r="D90" s="9" t="s">
        <v>94</v>
      </c>
      <c r="E90" s="9" t="s">
        <v>526</v>
      </c>
      <c r="F90" s="9"/>
      <c r="G90" s="9" t="s">
        <v>527</v>
      </c>
      <c r="H90" s="9" t="s">
        <v>97</v>
      </c>
      <c r="I90" s="9" t="s">
        <v>528</v>
      </c>
      <c r="J90" s="9" t="s">
        <v>519</v>
      </c>
      <c r="K90" s="9" t="s">
        <v>112</v>
      </c>
      <c r="L90" s="9" t="s">
        <v>529</v>
      </c>
      <c r="M90" s="9"/>
      <c r="N90" s="9"/>
      <c r="O90" s="11" t="s">
        <v>101</v>
      </c>
      <c r="P90" s="12">
        <v>24.00408573</v>
      </c>
      <c r="Q90" s="12">
        <v>-104.6534711</v>
      </c>
      <c r="R90" s="9" t="s">
        <v>530</v>
      </c>
      <c r="S90" s="13"/>
      <c r="T90" s="13"/>
      <c r="U90" s="13"/>
    </row>
    <row r="91" spans="1:21" x14ac:dyDescent="0.3">
      <c r="A91" s="9">
        <v>90</v>
      </c>
      <c r="B91" s="9" t="s">
        <v>37</v>
      </c>
      <c r="C91" s="9" t="s">
        <v>50</v>
      </c>
      <c r="D91" s="9" t="s">
        <v>94</v>
      </c>
      <c r="E91" s="9" t="s">
        <v>531</v>
      </c>
      <c r="F91" s="9"/>
      <c r="G91" s="9" t="s">
        <v>104</v>
      </c>
      <c r="H91" s="9" t="s">
        <v>97</v>
      </c>
      <c r="I91" s="9" t="s">
        <v>532</v>
      </c>
      <c r="J91" s="9" t="s">
        <v>533</v>
      </c>
      <c r="K91" s="9" t="s">
        <v>534</v>
      </c>
      <c r="L91" s="9" t="s">
        <v>535</v>
      </c>
      <c r="M91" s="9"/>
      <c r="N91" s="9"/>
      <c r="O91" s="11" t="s">
        <v>101</v>
      </c>
      <c r="P91" s="12">
        <v>24.050842419999999</v>
      </c>
      <c r="Q91" s="12">
        <v>-104.61217538</v>
      </c>
      <c r="R91" s="9" t="s">
        <v>536</v>
      </c>
      <c r="S91" s="13"/>
      <c r="T91" s="13"/>
      <c r="U91" s="13"/>
    </row>
    <row r="92" spans="1:21" x14ac:dyDescent="0.3">
      <c r="A92" s="9">
        <v>91</v>
      </c>
      <c r="B92" s="9" t="s">
        <v>37</v>
      </c>
      <c r="C92" s="9" t="s">
        <v>50</v>
      </c>
      <c r="D92" s="9" t="s">
        <v>94</v>
      </c>
      <c r="E92" s="9" t="s">
        <v>537</v>
      </c>
      <c r="F92" s="9"/>
      <c r="G92" s="9" t="s">
        <v>104</v>
      </c>
      <c r="H92" s="9" t="s">
        <v>97</v>
      </c>
      <c r="I92" s="9" t="s">
        <v>538</v>
      </c>
      <c r="J92" s="9" t="s">
        <v>189</v>
      </c>
      <c r="K92" s="9" t="s">
        <v>190</v>
      </c>
      <c r="L92" s="9"/>
      <c r="M92" s="9"/>
      <c r="N92" s="9"/>
      <c r="O92" s="11" t="s">
        <v>101</v>
      </c>
      <c r="P92" s="12">
        <v>24.062157620000001</v>
      </c>
      <c r="Q92" s="12">
        <v>-104.61714125</v>
      </c>
      <c r="R92" s="9" t="s">
        <v>539</v>
      </c>
      <c r="S92" s="13"/>
      <c r="T92" s="13"/>
      <c r="U92" s="13"/>
    </row>
    <row r="93" spans="1:21" x14ac:dyDescent="0.3">
      <c r="A93" s="9">
        <v>92</v>
      </c>
      <c r="B93" s="9" t="s">
        <v>37</v>
      </c>
      <c r="C93" s="9" t="s">
        <v>50</v>
      </c>
      <c r="D93" s="9" t="s">
        <v>94</v>
      </c>
      <c r="E93" s="9" t="s">
        <v>540</v>
      </c>
      <c r="F93" s="9"/>
      <c r="G93" s="9" t="s">
        <v>104</v>
      </c>
      <c r="H93" s="9" t="s">
        <v>97</v>
      </c>
      <c r="I93" s="9" t="s">
        <v>541</v>
      </c>
      <c r="J93" s="9" t="s">
        <v>239</v>
      </c>
      <c r="K93" s="9" t="s">
        <v>240</v>
      </c>
      <c r="L93" s="9" t="s">
        <v>542</v>
      </c>
      <c r="M93" s="9"/>
      <c r="N93" s="9"/>
      <c r="O93" s="11" t="s">
        <v>101</v>
      </c>
      <c r="P93" s="12">
        <v>24.031473160000001</v>
      </c>
      <c r="Q93" s="12">
        <v>-104.66609432</v>
      </c>
      <c r="R93" s="9" t="s">
        <v>543</v>
      </c>
      <c r="S93" s="13"/>
      <c r="T93" s="13"/>
      <c r="U93" s="13"/>
    </row>
    <row r="94" spans="1:21" x14ac:dyDescent="0.3">
      <c r="A94" s="9">
        <v>93</v>
      </c>
      <c r="B94" s="9" t="s">
        <v>37</v>
      </c>
      <c r="C94" s="9" t="s">
        <v>50</v>
      </c>
      <c r="D94" s="9" t="s">
        <v>94</v>
      </c>
      <c r="E94" s="9" t="s">
        <v>544</v>
      </c>
      <c r="F94" s="9"/>
      <c r="G94" s="9" t="s">
        <v>104</v>
      </c>
      <c r="H94" s="9" t="s">
        <v>97</v>
      </c>
      <c r="I94" s="9" t="s">
        <v>545</v>
      </c>
      <c r="J94" s="9" t="s">
        <v>546</v>
      </c>
      <c r="K94" s="9" t="s">
        <v>251</v>
      </c>
      <c r="L94" s="9" t="s">
        <v>547</v>
      </c>
      <c r="M94" s="9"/>
      <c r="N94" s="9"/>
      <c r="O94" s="11" t="s">
        <v>101</v>
      </c>
      <c r="P94" s="12">
        <v>24.023336799999999</v>
      </c>
      <c r="Q94" s="12">
        <v>-104.64798422</v>
      </c>
      <c r="R94" s="9" t="s">
        <v>548</v>
      </c>
      <c r="S94" s="13"/>
      <c r="T94" s="13"/>
      <c r="U94" s="13"/>
    </row>
    <row r="95" spans="1:21" x14ac:dyDescent="0.3">
      <c r="A95" s="9">
        <v>94</v>
      </c>
      <c r="B95" s="9" t="s">
        <v>37</v>
      </c>
      <c r="C95" s="9" t="s">
        <v>50</v>
      </c>
      <c r="D95" s="9" t="s">
        <v>94</v>
      </c>
      <c r="E95" s="9" t="s">
        <v>549</v>
      </c>
      <c r="F95" s="9" t="s">
        <v>549</v>
      </c>
      <c r="G95" s="9" t="s">
        <v>104</v>
      </c>
      <c r="H95" s="9" t="s">
        <v>97</v>
      </c>
      <c r="I95" s="9" t="s">
        <v>550</v>
      </c>
      <c r="J95" s="9" t="s">
        <v>204</v>
      </c>
      <c r="K95" s="9" t="s">
        <v>205</v>
      </c>
      <c r="L95" s="9" t="s">
        <v>551</v>
      </c>
      <c r="M95" s="9"/>
      <c r="N95" s="9"/>
      <c r="O95" s="11" t="s">
        <v>101</v>
      </c>
      <c r="P95" s="12">
        <v>24.019771769999998</v>
      </c>
      <c r="Q95" s="12">
        <v>-104.63276541</v>
      </c>
      <c r="R95" s="9" t="s">
        <v>552</v>
      </c>
      <c r="S95" s="13"/>
      <c r="T95" s="13"/>
      <c r="U95" s="13"/>
    </row>
    <row r="96" spans="1:21" x14ac:dyDescent="0.3">
      <c r="A96" s="9">
        <v>95</v>
      </c>
      <c r="B96" s="9" t="s">
        <v>37</v>
      </c>
      <c r="C96" s="9" t="s">
        <v>50</v>
      </c>
      <c r="D96" s="9" t="s">
        <v>94</v>
      </c>
      <c r="E96" s="9" t="s">
        <v>553</v>
      </c>
      <c r="F96" s="9"/>
      <c r="G96" s="9" t="s">
        <v>104</v>
      </c>
      <c r="H96" s="9" t="s">
        <v>97</v>
      </c>
      <c r="I96" s="9" t="s">
        <v>554</v>
      </c>
      <c r="J96" s="9" t="s">
        <v>555</v>
      </c>
      <c r="K96" s="9" t="s">
        <v>556</v>
      </c>
      <c r="L96" s="9" t="s">
        <v>557</v>
      </c>
      <c r="M96" s="9"/>
      <c r="N96" s="9"/>
      <c r="O96" s="11" t="s">
        <v>101</v>
      </c>
      <c r="P96" s="12">
        <v>24.008498530000001</v>
      </c>
      <c r="Q96" s="12">
        <v>-104.67952527</v>
      </c>
      <c r="R96" s="9" t="s">
        <v>558</v>
      </c>
      <c r="S96" s="13"/>
      <c r="T96" s="13"/>
      <c r="U96" s="13"/>
    </row>
    <row r="97" spans="1:21" x14ac:dyDescent="0.3">
      <c r="A97" s="9">
        <v>96</v>
      </c>
      <c r="B97" s="9" t="s">
        <v>37</v>
      </c>
      <c r="C97" s="9" t="s">
        <v>50</v>
      </c>
      <c r="D97" s="9" t="s">
        <v>94</v>
      </c>
      <c r="E97" s="9" t="s">
        <v>559</v>
      </c>
      <c r="F97" s="9"/>
      <c r="G97" s="9" t="s">
        <v>104</v>
      </c>
      <c r="H97" s="9" t="s">
        <v>97</v>
      </c>
      <c r="I97" s="9" t="s">
        <v>560</v>
      </c>
      <c r="J97" s="9" t="s">
        <v>561</v>
      </c>
      <c r="K97" s="9" t="s">
        <v>562</v>
      </c>
      <c r="L97" s="9"/>
      <c r="M97" s="9"/>
      <c r="N97" s="9"/>
      <c r="O97" s="11" t="s">
        <v>101</v>
      </c>
      <c r="P97" s="12">
        <v>24.000091529999999</v>
      </c>
      <c r="Q97" s="12">
        <v>-104.70048085000001</v>
      </c>
      <c r="R97" s="9" t="s">
        <v>563</v>
      </c>
      <c r="S97" s="13"/>
      <c r="T97" s="13"/>
      <c r="U97" s="13"/>
    </row>
    <row r="98" spans="1:21" x14ac:dyDescent="0.3">
      <c r="A98" s="9">
        <v>97</v>
      </c>
      <c r="B98" s="9" t="s">
        <v>37</v>
      </c>
      <c r="C98" s="9" t="s">
        <v>50</v>
      </c>
      <c r="D98" s="9" t="s">
        <v>94</v>
      </c>
      <c r="E98" s="9" t="s">
        <v>564</v>
      </c>
      <c r="F98" s="9"/>
      <c r="G98" s="9" t="s">
        <v>104</v>
      </c>
      <c r="H98" s="9" t="s">
        <v>97</v>
      </c>
      <c r="I98" s="9" t="s">
        <v>249</v>
      </c>
      <c r="J98" s="9" t="s">
        <v>204</v>
      </c>
      <c r="K98" s="9" t="s">
        <v>205</v>
      </c>
      <c r="L98" s="9" t="s">
        <v>565</v>
      </c>
      <c r="M98" s="9"/>
      <c r="N98" s="9"/>
      <c r="O98" s="11" t="s">
        <v>101</v>
      </c>
      <c r="P98" s="12">
        <v>24.020226109999999</v>
      </c>
      <c r="Q98" s="12">
        <v>-104.63176367</v>
      </c>
      <c r="R98" s="9" t="s">
        <v>566</v>
      </c>
      <c r="S98" s="13"/>
      <c r="T98" s="13"/>
      <c r="U98" s="13"/>
    </row>
    <row r="99" spans="1:21" x14ac:dyDescent="0.3">
      <c r="A99" s="9">
        <v>98</v>
      </c>
      <c r="B99" s="9" t="s">
        <v>37</v>
      </c>
      <c r="C99" s="9" t="s">
        <v>50</v>
      </c>
      <c r="D99" s="9" t="s">
        <v>94</v>
      </c>
      <c r="E99" s="9" t="s">
        <v>567</v>
      </c>
      <c r="F99" s="9" t="s">
        <v>568</v>
      </c>
      <c r="G99" s="9" t="s">
        <v>569</v>
      </c>
      <c r="H99" s="9" t="s">
        <v>97</v>
      </c>
      <c r="I99" s="9" t="s">
        <v>570</v>
      </c>
      <c r="J99" s="9" t="s">
        <v>571</v>
      </c>
      <c r="K99" s="9" t="s">
        <v>112</v>
      </c>
      <c r="L99" s="9" t="s">
        <v>572</v>
      </c>
      <c r="M99" s="9"/>
      <c r="N99" s="9"/>
      <c r="O99" s="11" t="s">
        <v>101</v>
      </c>
      <c r="P99" s="12">
        <v>24.0050496</v>
      </c>
      <c r="Q99" s="12">
        <v>-104.64756106</v>
      </c>
      <c r="R99" s="9" t="s">
        <v>573</v>
      </c>
      <c r="S99" s="13"/>
      <c r="T99" s="13"/>
      <c r="U99" s="13"/>
    </row>
    <row r="100" spans="1:21" x14ac:dyDescent="0.3">
      <c r="A100" s="9">
        <v>99</v>
      </c>
      <c r="B100" s="9" t="s">
        <v>37</v>
      </c>
      <c r="C100" s="9" t="s">
        <v>50</v>
      </c>
      <c r="D100" s="9" t="s">
        <v>94</v>
      </c>
      <c r="E100" s="9" t="s">
        <v>574</v>
      </c>
      <c r="F100" s="9"/>
      <c r="G100" s="9" t="s">
        <v>527</v>
      </c>
      <c r="H100" s="9" t="s">
        <v>97</v>
      </c>
      <c r="I100" s="9" t="s">
        <v>575</v>
      </c>
      <c r="J100" s="9" t="s">
        <v>301</v>
      </c>
      <c r="K100" s="9" t="s">
        <v>302</v>
      </c>
      <c r="L100" s="9" t="s">
        <v>576</v>
      </c>
      <c r="M100" s="9"/>
      <c r="N100" s="9"/>
      <c r="O100" s="11" t="s">
        <v>101</v>
      </c>
      <c r="P100" s="12">
        <v>24.00211273</v>
      </c>
      <c r="Q100" s="12">
        <v>-104.65329852000001</v>
      </c>
      <c r="R100" s="9" t="s">
        <v>577</v>
      </c>
      <c r="S100" s="13"/>
      <c r="T100" s="13"/>
      <c r="U100" s="13"/>
    </row>
    <row r="101" spans="1:21" x14ac:dyDescent="0.3">
      <c r="A101" s="9">
        <v>100</v>
      </c>
      <c r="B101" s="9" t="s">
        <v>37</v>
      </c>
      <c r="C101" s="9" t="s">
        <v>50</v>
      </c>
      <c r="D101" s="9" t="s">
        <v>143</v>
      </c>
      <c r="E101" s="9" t="s">
        <v>578</v>
      </c>
      <c r="F101" s="9"/>
      <c r="G101" s="9" t="s">
        <v>104</v>
      </c>
      <c r="H101" s="9" t="s">
        <v>97</v>
      </c>
      <c r="I101" s="9" t="s">
        <v>579</v>
      </c>
      <c r="J101" s="9" t="s">
        <v>580</v>
      </c>
      <c r="K101" s="9" t="s">
        <v>147</v>
      </c>
      <c r="L101" s="9" t="s">
        <v>581</v>
      </c>
      <c r="M101" s="9"/>
      <c r="N101" s="9"/>
      <c r="O101" s="11" t="s">
        <v>101</v>
      </c>
      <c r="P101" s="12">
        <v>24.103735700000001</v>
      </c>
      <c r="Q101" s="12">
        <v>-104.57493588</v>
      </c>
      <c r="R101" s="9" t="s">
        <v>582</v>
      </c>
      <c r="S101" s="13"/>
      <c r="T101" s="13"/>
      <c r="U101" s="13"/>
    </row>
    <row r="102" spans="1:21" x14ac:dyDescent="0.3">
      <c r="A102" s="9">
        <v>101</v>
      </c>
      <c r="B102" s="9" t="s">
        <v>37</v>
      </c>
      <c r="C102" s="9" t="s">
        <v>50</v>
      </c>
      <c r="D102" s="9" t="s">
        <v>94</v>
      </c>
      <c r="E102" s="9" t="s">
        <v>578</v>
      </c>
      <c r="F102" s="9"/>
      <c r="G102" s="9" t="s">
        <v>104</v>
      </c>
      <c r="H102" s="9" t="s">
        <v>97</v>
      </c>
      <c r="I102" s="9" t="s">
        <v>583</v>
      </c>
      <c r="J102" s="9" t="s">
        <v>584</v>
      </c>
      <c r="K102" s="9" t="s">
        <v>351</v>
      </c>
      <c r="L102" s="9" t="s">
        <v>585</v>
      </c>
      <c r="M102" s="9"/>
      <c r="N102" s="9"/>
      <c r="O102" s="11" t="s">
        <v>101</v>
      </c>
      <c r="P102" s="12">
        <v>24.000181040000001</v>
      </c>
      <c r="Q102" s="12">
        <v>-104.66203702</v>
      </c>
      <c r="R102" s="9" t="s">
        <v>586</v>
      </c>
      <c r="S102" s="13"/>
      <c r="T102" s="13"/>
      <c r="U102" s="13"/>
    </row>
    <row r="103" spans="1:21" x14ac:dyDescent="0.3">
      <c r="A103" s="9">
        <v>102</v>
      </c>
      <c r="B103" s="9" t="s">
        <v>37</v>
      </c>
      <c r="C103" s="9" t="s">
        <v>50</v>
      </c>
      <c r="D103" s="9" t="s">
        <v>94</v>
      </c>
      <c r="E103" s="9" t="s">
        <v>587</v>
      </c>
      <c r="F103" s="9" t="s">
        <v>588</v>
      </c>
      <c r="G103" s="9" t="s">
        <v>104</v>
      </c>
      <c r="H103" s="9" t="s">
        <v>97</v>
      </c>
      <c r="I103" s="9" t="s">
        <v>589</v>
      </c>
      <c r="J103" s="9" t="s">
        <v>590</v>
      </c>
      <c r="K103" s="9" t="s">
        <v>591</v>
      </c>
      <c r="L103" s="9"/>
      <c r="M103" s="9"/>
      <c r="N103" s="9"/>
      <c r="O103" s="11" t="s">
        <v>101</v>
      </c>
      <c r="P103" s="12">
        <v>23.993104559999999</v>
      </c>
      <c r="Q103" s="12">
        <v>-104.69271451</v>
      </c>
      <c r="R103" s="9" t="s">
        <v>592</v>
      </c>
      <c r="S103" s="13"/>
      <c r="T103" s="13"/>
      <c r="U103" s="13"/>
    </row>
    <row r="104" spans="1:21" x14ac:dyDescent="0.3">
      <c r="A104" s="9">
        <v>103</v>
      </c>
      <c r="B104" s="9" t="s">
        <v>37</v>
      </c>
      <c r="C104" s="9" t="s">
        <v>50</v>
      </c>
      <c r="D104" s="9" t="s">
        <v>94</v>
      </c>
      <c r="E104" s="9" t="s">
        <v>593</v>
      </c>
      <c r="F104" s="9"/>
      <c r="G104" s="9" t="s">
        <v>104</v>
      </c>
      <c r="H104" s="9" t="s">
        <v>97</v>
      </c>
      <c r="I104" s="9" t="s">
        <v>594</v>
      </c>
      <c r="J104" s="9" t="s">
        <v>595</v>
      </c>
      <c r="K104" s="9" t="s">
        <v>596</v>
      </c>
      <c r="L104" s="9" t="s">
        <v>597</v>
      </c>
      <c r="M104" s="9"/>
      <c r="N104" s="9"/>
      <c r="O104" s="11" t="s">
        <v>101</v>
      </c>
      <c r="P104" s="12">
        <v>24.04346966</v>
      </c>
      <c r="Q104" s="12">
        <v>-104.5997103</v>
      </c>
      <c r="R104" s="9" t="s">
        <v>598</v>
      </c>
      <c r="S104" s="13"/>
      <c r="T104" s="13"/>
      <c r="U104" s="13"/>
    </row>
    <row r="105" spans="1:21" x14ac:dyDescent="0.3">
      <c r="A105" s="9">
        <v>104</v>
      </c>
      <c r="B105" s="9" t="s">
        <v>37</v>
      </c>
      <c r="C105" s="9" t="s">
        <v>50</v>
      </c>
      <c r="D105" s="9" t="s">
        <v>94</v>
      </c>
      <c r="E105" s="9" t="s">
        <v>599</v>
      </c>
      <c r="F105" s="9" t="s">
        <v>600</v>
      </c>
      <c r="G105" s="9" t="s">
        <v>96</v>
      </c>
      <c r="H105" s="9" t="s">
        <v>97</v>
      </c>
      <c r="I105" s="9" t="s">
        <v>601</v>
      </c>
      <c r="J105" s="9" t="s">
        <v>391</v>
      </c>
      <c r="K105" s="9" t="s">
        <v>392</v>
      </c>
      <c r="L105" s="9" t="s">
        <v>602</v>
      </c>
      <c r="M105" s="9"/>
      <c r="N105" s="9"/>
      <c r="O105" s="11" t="s">
        <v>101</v>
      </c>
      <c r="P105" s="12">
        <v>24.008405929999999</v>
      </c>
      <c r="Q105" s="12">
        <v>-104.67628437</v>
      </c>
      <c r="R105" s="9" t="s">
        <v>603</v>
      </c>
      <c r="S105" s="13"/>
      <c r="T105" s="13"/>
      <c r="U105" s="13"/>
    </row>
    <row r="106" spans="1:21" x14ac:dyDescent="0.3">
      <c r="A106" s="9">
        <v>105</v>
      </c>
      <c r="B106" s="9" t="s">
        <v>37</v>
      </c>
      <c r="C106" s="9" t="s">
        <v>50</v>
      </c>
      <c r="D106" s="9" t="s">
        <v>94</v>
      </c>
      <c r="E106" s="9" t="s">
        <v>604</v>
      </c>
      <c r="F106" s="9"/>
      <c r="G106" s="9" t="s">
        <v>96</v>
      </c>
      <c r="H106" s="9" t="s">
        <v>97</v>
      </c>
      <c r="I106" s="9" t="s">
        <v>605</v>
      </c>
      <c r="J106" s="9" t="s">
        <v>239</v>
      </c>
      <c r="K106" s="9" t="s">
        <v>240</v>
      </c>
      <c r="L106" s="9" t="s">
        <v>606</v>
      </c>
      <c r="M106" s="9"/>
      <c r="N106" s="9"/>
      <c r="O106" s="11" t="s">
        <v>101</v>
      </c>
      <c r="P106" s="12">
        <v>24.024525959999998</v>
      </c>
      <c r="Q106" s="12">
        <v>-104.65389718</v>
      </c>
      <c r="R106" s="9" t="s">
        <v>607</v>
      </c>
      <c r="S106" s="13"/>
      <c r="T106" s="13"/>
      <c r="U106" s="13"/>
    </row>
    <row r="107" spans="1:21" x14ac:dyDescent="0.3">
      <c r="A107" s="9">
        <v>106</v>
      </c>
      <c r="B107" s="9" t="s">
        <v>37</v>
      </c>
      <c r="C107" s="9" t="s">
        <v>50</v>
      </c>
      <c r="D107" s="9" t="s">
        <v>94</v>
      </c>
      <c r="E107" s="9" t="s">
        <v>608</v>
      </c>
      <c r="F107" s="9"/>
      <c r="G107" s="9" t="s">
        <v>96</v>
      </c>
      <c r="H107" s="9" t="s">
        <v>97</v>
      </c>
      <c r="I107" s="9" t="s">
        <v>609</v>
      </c>
      <c r="J107" s="9" t="s">
        <v>261</v>
      </c>
      <c r="K107" s="9" t="s">
        <v>262</v>
      </c>
      <c r="L107" s="9" t="s">
        <v>610</v>
      </c>
      <c r="M107" s="9"/>
      <c r="N107" s="9"/>
      <c r="O107" s="11" t="s">
        <v>101</v>
      </c>
      <c r="P107" s="12">
        <v>24.00751374</v>
      </c>
      <c r="Q107" s="12">
        <v>-104.66858139999999</v>
      </c>
      <c r="R107" s="9" t="s">
        <v>611</v>
      </c>
      <c r="S107" s="13"/>
      <c r="T107" s="13"/>
      <c r="U107" s="13"/>
    </row>
    <row r="108" spans="1:21" x14ac:dyDescent="0.3">
      <c r="A108" s="9">
        <v>107</v>
      </c>
      <c r="B108" s="9" t="s">
        <v>37</v>
      </c>
      <c r="C108" s="9" t="s">
        <v>50</v>
      </c>
      <c r="D108" s="9" t="s">
        <v>94</v>
      </c>
      <c r="E108" s="9" t="s">
        <v>612</v>
      </c>
      <c r="F108" s="9"/>
      <c r="G108" s="9" t="s">
        <v>96</v>
      </c>
      <c r="H108" s="9" t="s">
        <v>97</v>
      </c>
      <c r="I108" s="9" t="s">
        <v>613</v>
      </c>
      <c r="J108" s="9" t="s">
        <v>204</v>
      </c>
      <c r="K108" s="9" t="s">
        <v>205</v>
      </c>
      <c r="L108" s="9" t="s">
        <v>614</v>
      </c>
      <c r="M108" s="9"/>
      <c r="N108" s="9"/>
      <c r="O108" s="11" t="s">
        <v>101</v>
      </c>
      <c r="P108" s="12">
        <v>24.019937150000001</v>
      </c>
      <c r="Q108" s="12">
        <v>-104.63517799</v>
      </c>
      <c r="R108" s="9" t="s">
        <v>615</v>
      </c>
      <c r="S108" s="13"/>
      <c r="T108" s="13"/>
      <c r="U108" s="13"/>
    </row>
    <row r="109" spans="1:21" x14ac:dyDescent="0.3">
      <c r="A109" s="9">
        <v>108</v>
      </c>
      <c r="B109" s="9" t="s">
        <v>37</v>
      </c>
      <c r="C109" s="9" t="s">
        <v>50</v>
      </c>
      <c r="D109" s="9" t="s">
        <v>94</v>
      </c>
      <c r="E109" s="9" t="s">
        <v>616</v>
      </c>
      <c r="F109" s="9"/>
      <c r="G109" s="9" t="s">
        <v>96</v>
      </c>
      <c r="H109" s="9" t="s">
        <v>97</v>
      </c>
      <c r="I109" s="9" t="s">
        <v>617</v>
      </c>
      <c r="J109" s="9" t="s">
        <v>204</v>
      </c>
      <c r="K109" s="9" t="s">
        <v>205</v>
      </c>
      <c r="L109" s="9" t="s">
        <v>618</v>
      </c>
      <c r="M109" s="9"/>
      <c r="N109" s="9"/>
      <c r="O109" s="11" t="s">
        <v>101</v>
      </c>
      <c r="P109" s="12">
        <v>24.026862319999999</v>
      </c>
      <c r="Q109" s="12">
        <v>-104.63094722</v>
      </c>
      <c r="R109" s="9" t="s">
        <v>619</v>
      </c>
      <c r="S109" s="13"/>
      <c r="T109" s="13"/>
      <c r="U109" s="13"/>
    </row>
    <row r="110" spans="1:21" x14ac:dyDescent="0.3">
      <c r="A110" s="9">
        <v>109</v>
      </c>
      <c r="B110" s="9" t="s">
        <v>37</v>
      </c>
      <c r="C110" s="9" t="s">
        <v>50</v>
      </c>
      <c r="D110" s="9" t="s">
        <v>94</v>
      </c>
      <c r="E110" s="9" t="s">
        <v>620</v>
      </c>
      <c r="F110" s="9"/>
      <c r="G110" s="9" t="s">
        <v>96</v>
      </c>
      <c r="H110" s="9" t="s">
        <v>97</v>
      </c>
      <c r="I110" s="9" t="s">
        <v>621</v>
      </c>
      <c r="J110" s="9" t="s">
        <v>106</v>
      </c>
      <c r="K110" s="9" t="s">
        <v>107</v>
      </c>
      <c r="L110" s="9" t="s">
        <v>622</v>
      </c>
      <c r="M110" s="9"/>
      <c r="N110" s="9"/>
      <c r="O110" s="11" t="s">
        <v>101</v>
      </c>
      <c r="P110" s="12">
        <v>23.998795779999998</v>
      </c>
      <c r="Q110" s="12">
        <v>-104.66432381</v>
      </c>
      <c r="R110" s="9" t="s">
        <v>623</v>
      </c>
      <c r="S110" s="13"/>
      <c r="T110" s="13"/>
      <c r="U110" s="13"/>
    </row>
    <row r="111" spans="1:21" x14ac:dyDescent="0.3">
      <c r="A111" s="9">
        <v>110</v>
      </c>
      <c r="B111" s="9" t="s">
        <v>37</v>
      </c>
      <c r="C111" s="9" t="s">
        <v>50</v>
      </c>
      <c r="D111" s="9" t="s">
        <v>94</v>
      </c>
      <c r="E111" s="9" t="s">
        <v>624</v>
      </c>
      <c r="F111" s="9" t="s">
        <v>625</v>
      </c>
      <c r="G111" s="9" t="s">
        <v>96</v>
      </c>
      <c r="H111" s="9" t="s">
        <v>97</v>
      </c>
      <c r="I111" s="9" t="s">
        <v>626</v>
      </c>
      <c r="J111" s="9" t="s">
        <v>342</v>
      </c>
      <c r="K111" s="9" t="s">
        <v>287</v>
      </c>
      <c r="L111" s="9"/>
      <c r="M111" s="9"/>
      <c r="N111" s="9"/>
      <c r="O111" s="11" t="s">
        <v>101</v>
      </c>
      <c r="P111" s="12">
        <v>24.009343860000001</v>
      </c>
      <c r="Q111" s="12">
        <v>-104.70371759</v>
      </c>
      <c r="R111" s="9" t="s">
        <v>627</v>
      </c>
      <c r="S111" s="13"/>
      <c r="T111" s="13"/>
      <c r="U111" s="13"/>
    </row>
    <row r="112" spans="1:21" x14ac:dyDescent="0.3">
      <c r="A112" s="9">
        <v>111</v>
      </c>
      <c r="B112" s="9" t="s">
        <v>37</v>
      </c>
      <c r="C112" s="9" t="s">
        <v>50</v>
      </c>
      <c r="D112" s="9" t="s">
        <v>94</v>
      </c>
      <c r="E112" s="9" t="s">
        <v>628</v>
      </c>
      <c r="F112" s="9"/>
      <c r="G112" s="9" t="s">
        <v>96</v>
      </c>
      <c r="H112" s="9" t="s">
        <v>97</v>
      </c>
      <c r="I112" s="9" t="s">
        <v>629</v>
      </c>
      <c r="J112" s="9" t="s">
        <v>239</v>
      </c>
      <c r="K112" s="9" t="s">
        <v>240</v>
      </c>
      <c r="L112" s="9"/>
      <c r="M112" s="9"/>
      <c r="N112" s="9"/>
      <c r="O112" s="11" t="s">
        <v>101</v>
      </c>
      <c r="P112" s="12">
        <v>24.02988732</v>
      </c>
      <c r="Q112" s="12">
        <v>-104.67279490999999</v>
      </c>
      <c r="R112" s="9" t="s">
        <v>630</v>
      </c>
      <c r="S112" s="13"/>
      <c r="T112" s="13"/>
      <c r="U112" s="13"/>
    </row>
    <row r="113" spans="1:21" x14ac:dyDescent="0.3">
      <c r="A113" s="9">
        <v>112</v>
      </c>
      <c r="B113" s="9" t="s">
        <v>37</v>
      </c>
      <c r="C113" s="9" t="s">
        <v>50</v>
      </c>
      <c r="D113" s="9" t="s">
        <v>94</v>
      </c>
      <c r="E113" s="9" t="s">
        <v>631</v>
      </c>
      <c r="F113" s="9"/>
      <c r="G113" s="9" t="s">
        <v>96</v>
      </c>
      <c r="H113" s="9" t="s">
        <v>97</v>
      </c>
      <c r="I113" s="9" t="s">
        <v>632</v>
      </c>
      <c r="J113" s="9" t="s">
        <v>281</v>
      </c>
      <c r="K113" s="9" t="s">
        <v>282</v>
      </c>
      <c r="L113" s="9"/>
      <c r="M113" s="9"/>
      <c r="N113" s="9"/>
      <c r="O113" s="11" t="s">
        <v>101</v>
      </c>
      <c r="P113" s="12">
        <v>24.04257226</v>
      </c>
      <c r="Q113" s="12">
        <v>-104.68655269999999</v>
      </c>
      <c r="R113" s="9" t="s">
        <v>633</v>
      </c>
      <c r="S113" s="13"/>
      <c r="T113" s="13"/>
      <c r="U113" s="13"/>
    </row>
    <row r="114" spans="1:21" x14ac:dyDescent="0.3">
      <c r="A114" s="9">
        <v>113</v>
      </c>
      <c r="B114" s="9" t="s">
        <v>37</v>
      </c>
      <c r="C114" s="9" t="s">
        <v>50</v>
      </c>
      <c r="D114" s="9" t="s">
        <v>94</v>
      </c>
      <c r="E114" s="9" t="s">
        <v>634</v>
      </c>
      <c r="F114" s="9"/>
      <c r="G114" s="9" t="s">
        <v>96</v>
      </c>
      <c r="H114" s="9" t="s">
        <v>97</v>
      </c>
      <c r="I114" s="9" t="s">
        <v>635</v>
      </c>
      <c r="J114" s="9" t="s">
        <v>636</v>
      </c>
      <c r="K114" s="9" t="s">
        <v>637</v>
      </c>
      <c r="L114" s="9" t="s">
        <v>638</v>
      </c>
      <c r="M114" s="9"/>
      <c r="N114" s="9"/>
      <c r="O114" s="11" t="s">
        <v>101</v>
      </c>
      <c r="P114" s="12">
        <v>24.043611649999999</v>
      </c>
      <c r="Q114" s="12">
        <v>-104.65990308000001</v>
      </c>
      <c r="R114" s="9" t="s">
        <v>639</v>
      </c>
      <c r="S114" s="13"/>
      <c r="T114" s="13"/>
      <c r="U114" s="13"/>
    </row>
    <row r="115" spans="1:21" x14ac:dyDescent="0.3">
      <c r="A115" s="9">
        <v>114</v>
      </c>
      <c r="B115" s="9" t="s">
        <v>37</v>
      </c>
      <c r="C115" s="9" t="s">
        <v>50</v>
      </c>
      <c r="D115" s="9" t="s">
        <v>94</v>
      </c>
      <c r="E115" s="9" t="s">
        <v>640</v>
      </c>
      <c r="F115" s="9"/>
      <c r="G115" s="9" t="s">
        <v>569</v>
      </c>
      <c r="H115" s="9" t="s">
        <v>97</v>
      </c>
      <c r="I115" s="9" t="s">
        <v>641</v>
      </c>
      <c r="J115" s="9" t="s">
        <v>273</v>
      </c>
      <c r="K115" s="9" t="s">
        <v>642</v>
      </c>
      <c r="L115" s="9"/>
      <c r="M115" s="9"/>
      <c r="N115" s="9"/>
      <c r="O115" s="11" t="s">
        <v>101</v>
      </c>
      <c r="P115" s="12">
        <v>24.045302400000001</v>
      </c>
      <c r="Q115" s="12">
        <v>-104.63172899</v>
      </c>
      <c r="R115" s="9" t="s">
        <v>643</v>
      </c>
      <c r="S115" s="13"/>
      <c r="T115" s="13"/>
      <c r="U115" s="13"/>
    </row>
    <row r="116" spans="1:21" x14ac:dyDescent="0.3">
      <c r="A116" s="9">
        <v>115</v>
      </c>
      <c r="B116" s="9" t="s">
        <v>37</v>
      </c>
      <c r="C116" s="9" t="s">
        <v>50</v>
      </c>
      <c r="D116" s="9" t="s">
        <v>94</v>
      </c>
      <c r="E116" s="9" t="s">
        <v>644</v>
      </c>
      <c r="F116" s="9"/>
      <c r="G116" s="9" t="s">
        <v>569</v>
      </c>
      <c r="H116" s="9" t="s">
        <v>97</v>
      </c>
      <c r="I116" s="9" t="s">
        <v>645</v>
      </c>
      <c r="J116" s="9" t="s">
        <v>646</v>
      </c>
      <c r="K116" s="9" t="s">
        <v>495</v>
      </c>
      <c r="L116" s="9" t="s">
        <v>647</v>
      </c>
      <c r="M116" s="9"/>
      <c r="N116" s="9"/>
      <c r="O116" s="11" t="s">
        <v>101</v>
      </c>
      <c r="P116" s="12">
        <v>24.015675470000001</v>
      </c>
      <c r="Q116" s="12">
        <v>-104.59433036999999</v>
      </c>
      <c r="R116" s="9" t="s">
        <v>648</v>
      </c>
      <c r="S116" s="13"/>
      <c r="T116" s="13"/>
      <c r="U116" s="13"/>
    </row>
    <row r="117" spans="1:21" x14ac:dyDescent="0.3">
      <c r="A117" s="9">
        <v>116</v>
      </c>
      <c r="B117" s="9" t="s">
        <v>37</v>
      </c>
      <c r="C117" s="9" t="s">
        <v>50</v>
      </c>
      <c r="D117" s="9" t="s">
        <v>94</v>
      </c>
      <c r="E117" s="9" t="s">
        <v>649</v>
      </c>
      <c r="F117" s="9" t="s">
        <v>650</v>
      </c>
      <c r="G117" s="9" t="s">
        <v>104</v>
      </c>
      <c r="H117" s="9" t="s">
        <v>97</v>
      </c>
      <c r="I117" s="9" t="s">
        <v>651</v>
      </c>
      <c r="J117" s="9" t="s">
        <v>652</v>
      </c>
      <c r="K117" s="9" t="s">
        <v>653</v>
      </c>
      <c r="L117" s="9" t="s">
        <v>654</v>
      </c>
      <c r="M117" s="9"/>
      <c r="N117" s="9"/>
      <c r="O117" s="11" t="s">
        <v>101</v>
      </c>
      <c r="P117" s="12">
        <v>24.038955439999999</v>
      </c>
      <c r="Q117" s="12">
        <v>-104.66798498999999</v>
      </c>
      <c r="R117" s="9" t="s">
        <v>655</v>
      </c>
      <c r="S117" s="13"/>
      <c r="T117" s="13"/>
      <c r="U117" s="13"/>
    </row>
    <row r="118" spans="1:21" x14ac:dyDescent="0.3">
      <c r="A118" s="9">
        <v>117</v>
      </c>
      <c r="B118" s="9" t="s">
        <v>37</v>
      </c>
      <c r="C118" s="9" t="s">
        <v>50</v>
      </c>
      <c r="D118" s="9" t="s">
        <v>94</v>
      </c>
      <c r="E118" s="9" t="s">
        <v>656</v>
      </c>
      <c r="F118" s="9"/>
      <c r="G118" s="9" t="s">
        <v>104</v>
      </c>
      <c r="H118" s="9" t="s">
        <v>97</v>
      </c>
      <c r="I118" s="9" t="s">
        <v>657</v>
      </c>
      <c r="J118" s="9" t="s">
        <v>658</v>
      </c>
      <c r="K118" s="9" t="s">
        <v>659</v>
      </c>
      <c r="L118" s="9"/>
      <c r="M118" s="9"/>
      <c r="N118" s="9"/>
      <c r="O118" s="11" t="s">
        <v>101</v>
      </c>
      <c r="P118" s="12">
        <v>24.04648735</v>
      </c>
      <c r="Q118" s="12">
        <v>-104.65239848</v>
      </c>
      <c r="R118" s="9" t="s">
        <v>660</v>
      </c>
      <c r="S118" s="13"/>
      <c r="T118" s="13"/>
      <c r="U118" s="13"/>
    </row>
    <row r="119" spans="1:21" x14ac:dyDescent="0.3">
      <c r="A119" s="9">
        <v>118</v>
      </c>
      <c r="B119" s="9" t="s">
        <v>37</v>
      </c>
      <c r="C119" s="9" t="s">
        <v>50</v>
      </c>
      <c r="D119" s="9" t="s">
        <v>94</v>
      </c>
      <c r="E119" s="9" t="s">
        <v>656</v>
      </c>
      <c r="F119" s="9"/>
      <c r="G119" s="9" t="s">
        <v>104</v>
      </c>
      <c r="H119" s="9" t="s">
        <v>97</v>
      </c>
      <c r="I119" s="9" t="s">
        <v>661</v>
      </c>
      <c r="J119" s="9" t="s">
        <v>662</v>
      </c>
      <c r="K119" s="9" t="s">
        <v>663</v>
      </c>
      <c r="L119" s="9"/>
      <c r="M119" s="9"/>
      <c r="N119" s="9"/>
      <c r="O119" s="11" t="s">
        <v>101</v>
      </c>
      <c r="P119" s="12">
        <v>24.03905606</v>
      </c>
      <c r="Q119" s="12">
        <v>-104.65562971</v>
      </c>
      <c r="R119" s="9" t="s">
        <v>664</v>
      </c>
      <c r="S119" s="13"/>
      <c r="T119" s="13"/>
      <c r="U119" s="13"/>
    </row>
    <row r="120" spans="1:21" x14ac:dyDescent="0.3">
      <c r="A120" s="9">
        <v>119</v>
      </c>
      <c r="B120" s="9" t="s">
        <v>37</v>
      </c>
      <c r="C120" s="9" t="s">
        <v>50</v>
      </c>
      <c r="D120" s="9" t="s">
        <v>94</v>
      </c>
      <c r="E120" s="9" t="s">
        <v>665</v>
      </c>
      <c r="F120" s="9"/>
      <c r="G120" s="9" t="s">
        <v>96</v>
      </c>
      <c r="H120" s="9" t="s">
        <v>97</v>
      </c>
      <c r="I120" s="9" t="s">
        <v>666</v>
      </c>
      <c r="J120" s="9" t="s">
        <v>239</v>
      </c>
      <c r="K120" s="9" t="s">
        <v>240</v>
      </c>
      <c r="L120" s="9" t="s">
        <v>667</v>
      </c>
      <c r="M120" s="9"/>
      <c r="N120" s="9"/>
      <c r="O120" s="11" t="s">
        <v>101</v>
      </c>
      <c r="P120" s="12">
        <v>24.028108119999999</v>
      </c>
      <c r="Q120" s="12">
        <v>-104.65936416</v>
      </c>
      <c r="R120" s="9" t="s">
        <v>668</v>
      </c>
      <c r="S120" s="13"/>
      <c r="T120" s="13"/>
      <c r="U120" s="13"/>
    </row>
    <row r="121" spans="1:21" x14ac:dyDescent="0.3">
      <c r="A121" s="9">
        <v>120</v>
      </c>
      <c r="B121" s="9" t="s">
        <v>37</v>
      </c>
      <c r="C121" s="9" t="s">
        <v>50</v>
      </c>
      <c r="D121" s="9" t="s">
        <v>94</v>
      </c>
      <c r="E121" s="9" t="s">
        <v>669</v>
      </c>
      <c r="F121" s="9"/>
      <c r="G121" s="9" t="s">
        <v>104</v>
      </c>
      <c r="H121" s="9" t="s">
        <v>97</v>
      </c>
      <c r="I121" s="9" t="s">
        <v>670</v>
      </c>
      <c r="J121" s="9" t="s">
        <v>239</v>
      </c>
      <c r="K121" s="9" t="s">
        <v>240</v>
      </c>
      <c r="L121" s="9"/>
      <c r="M121" s="9"/>
      <c r="N121" s="9"/>
      <c r="O121" s="11" t="s">
        <v>101</v>
      </c>
      <c r="P121" s="12">
        <v>24.024238749999999</v>
      </c>
      <c r="Q121" s="12">
        <v>-104.65649709</v>
      </c>
      <c r="R121" s="9" t="s">
        <v>671</v>
      </c>
      <c r="S121" s="13"/>
      <c r="T121" s="13"/>
      <c r="U121" s="13"/>
    </row>
    <row r="122" spans="1:21" x14ac:dyDescent="0.3">
      <c r="A122" s="9">
        <v>121</v>
      </c>
      <c r="B122" s="9" t="s">
        <v>37</v>
      </c>
      <c r="C122" s="9" t="s">
        <v>50</v>
      </c>
      <c r="D122" s="9" t="s">
        <v>94</v>
      </c>
      <c r="E122" s="9" t="s">
        <v>672</v>
      </c>
      <c r="F122" s="9"/>
      <c r="G122" s="9" t="s">
        <v>34</v>
      </c>
      <c r="H122" s="9" t="s">
        <v>97</v>
      </c>
      <c r="I122" s="9" t="s">
        <v>673</v>
      </c>
      <c r="J122" s="9" t="s">
        <v>674</v>
      </c>
      <c r="K122" s="9" t="s">
        <v>190</v>
      </c>
      <c r="L122" s="9" t="s">
        <v>675</v>
      </c>
      <c r="M122" s="9"/>
      <c r="N122" s="9"/>
      <c r="O122" s="11" t="s">
        <v>101</v>
      </c>
      <c r="P122" s="12">
        <v>24.051278960000001</v>
      </c>
      <c r="Q122" s="12">
        <v>-104.61922651</v>
      </c>
      <c r="R122" s="9" t="s">
        <v>676</v>
      </c>
      <c r="S122" s="13"/>
      <c r="T122" s="13"/>
      <c r="U122" s="13"/>
    </row>
    <row r="123" spans="1:21" x14ac:dyDescent="0.3">
      <c r="A123" s="9">
        <v>122</v>
      </c>
      <c r="B123" s="9" t="s">
        <v>37</v>
      </c>
      <c r="C123" s="9" t="s">
        <v>50</v>
      </c>
      <c r="D123" s="9" t="s">
        <v>94</v>
      </c>
      <c r="E123" s="9" t="s">
        <v>677</v>
      </c>
      <c r="F123" s="9"/>
      <c r="G123" s="9" t="s">
        <v>34</v>
      </c>
      <c r="H123" s="9" t="s">
        <v>97</v>
      </c>
      <c r="I123" s="9" t="s">
        <v>678</v>
      </c>
      <c r="J123" s="9" t="s">
        <v>239</v>
      </c>
      <c r="K123" s="9" t="s">
        <v>240</v>
      </c>
      <c r="L123" s="9"/>
      <c r="M123" s="9"/>
      <c r="N123" s="9"/>
      <c r="O123" s="11" t="s">
        <v>101</v>
      </c>
      <c r="P123" s="12">
        <v>24.022101020000001</v>
      </c>
      <c r="Q123" s="12">
        <v>-104.65502325999999</v>
      </c>
      <c r="R123" s="9" t="s">
        <v>679</v>
      </c>
      <c r="S123" s="13"/>
      <c r="T123" s="13"/>
      <c r="U123" s="13"/>
    </row>
    <row r="124" spans="1:21" x14ac:dyDescent="0.3">
      <c r="A124" s="9">
        <v>123</v>
      </c>
      <c r="B124" s="9" t="s">
        <v>37</v>
      </c>
      <c r="C124" s="9" t="s">
        <v>50</v>
      </c>
      <c r="D124" s="9" t="s">
        <v>94</v>
      </c>
      <c r="E124" s="9" t="s">
        <v>680</v>
      </c>
      <c r="F124" s="9" t="s">
        <v>681</v>
      </c>
      <c r="G124" s="9" t="s">
        <v>34</v>
      </c>
      <c r="H124" s="9" t="s">
        <v>97</v>
      </c>
      <c r="I124" s="9" t="s">
        <v>682</v>
      </c>
      <c r="J124" s="9" t="s">
        <v>683</v>
      </c>
      <c r="K124" s="9" t="s">
        <v>100</v>
      </c>
      <c r="L124" s="9"/>
      <c r="M124" s="9"/>
      <c r="N124" s="9"/>
      <c r="O124" s="11" t="s">
        <v>101</v>
      </c>
      <c r="P124" s="12">
        <v>24.00320842</v>
      </c>
      <c r="Q124" s="12">
        <v>-104.64374461</v>
      </c>
      <c r="R124" s="9" t="s">
        <v>684</v>
      </c>
      <c r="S124" s="13"/>
      <c r="T124" s="13"/>
      <c r="U124" s="13"/>
    </row>
    <row r="125" spans="1:21" x14ac:dyDescent="0.3">
      <c r="A125" s="9">
        <v>124</v>
      </c>
      <c r="B125" s="9" t="s">
        <v>37</v>
      </c>
      <c r="C125" s="9" t="s">
        <v>50</v>
      </c>
      <c r="D125" s="9" t="s">
        <v>94</v>
      </c>
      <c r="E125" s="9" t="s">
        <v>685</v>
      </c>
      <c r="F125" s="9" t="s">
        <v>686</v>
      </c>
      <c r="G125" s="9" t="s">
        <v>104</v>
      </c>
      <c r="H125" s="9" t="s">
        <v>97</v>
      </c>
      <c r="I125" s="9" t="s">
        <v>687</v>
      </c>
      <c r="J125" s="9" t="s">
        <v>662</v>
      </c>
      <c r="K125" s="9" t="s">
        <v>663</v>
      </c>
      <c r="L125" s="9"/>
      <c r="M125" s="9"/>
      <c r="N125" s="9"/>
      <c r="O125" s="11" t="s">
        <v>101</v>
      </c>
      <c r="P125" s="12">
        <v>24.04308726</v>
      </c>
      <c r="Q125" s="12">
        <v>-104.65432294999999</v>
      </c>
      <c r="R125" s="9" t="s">
        <v>688</v>
      </c>
      <c r="S125" s="13"/>
      <c r="T125" s="13"/>
      <c r="U125" s="13"/>
    </row>
    <row r="126" spans="1:21" x14ac:dyDescent="0.3">
      <c r="A126" s="9">
        <v>125</v>
      </c>
      <c r="B126" s="9" t="s">
        <v>37</v>
      </c>
      <c r="C126" s="9" t="s">
        <v>50</v>
      </c>
      <c r="D126" s="9" t="s">
        <v>94</v>
      </c>
      <c r="E126" s="9" t="s">
        <v>689</v>
      </c>
      <c r="F126" s="9"/>
      <c r="G126" s="9" t="s">
        <v>116</v>
      </c>
      <c r="H126" s="9" t="s">
        <v>97</v>
      </c>
      <c r="I126" s="9" t="s">
        <v>690</v>
      </c>
      <c r="J126" s="9" t="s">
        <v>691</v>
      </c>
      <c r="K126" s="9" t="s">
        <v>190</v>
      </c>
      <c r="L126" s="9"/>
      <c r="M126" s="9"/>
      <c r="N126" s="9"/>
      <c r="O126" s="11" t="s">
        <v>101</v>
      </c>
      <c r="P126" s="12">
        <v>24.054749600000001</v>
      </c>
      <c r="Q126" s="12">
        <v>-104.62138404</v>
      </c>
      <c r="R126" s="9" t="s">
        <v>692</v>
      </c>
      <c r="S126" s="13"/>
      <c r="T126" s="13"/>
      <c r="U126" s="13"/>
    </row>
    <row r="127" spans="1:21" x14ac:dyDescent="0.3">
      <c r="A127" s="9">
        <v>126</v>
      </c>
      <c r="B127" s="9" t="s">
        <v>37</v>
      </c>
      <c r="C127" s="9" t="s">
        <v>50</v>
      </c>
      <c r="D127" s="9" t="s">
        <v>94</v>
      </c>
      <c r="E127" s="9" t="s">
        <v>693</v>
      </c>
      <c r="F127" s="9" t="s">
        <v>694</v>
      </c>
      <c r="G127" s="9" t="s">
        <v>116</v>
      </c>
      <c r="H127" s="9" t="s">
        <v>97</v>
      </c>
      <c r="I127" s="9" t="s">
        <v>695</v>
      </c>
      <c r="J127" s="9" t="s">
        <v>696</v>
      </c>
      <c r="K127" s="9" t="s">
        <v>697</v>
      </c>
      <c r="L127" s="9"/>
      <c r="M127" s="9"/>
      <c r="N127" s="9"/>
      <c r="O127" s="11" t="s">
        <v>101</v>
      </c>
      <c r="P127" s="12">
        <v>24.041212850000001</v>
      </c>
      <c r="Q127" s="12">
        <v>-104.63307580999999</v>
      </c>
      <c r="R127" s="9" t="s">
        <v>698</v>
      </c>
      <c r="S127" s="13"/>
      <c r="T127" s="13"/>
      <c r="U127" s="13"/>
    </row>
    <row r="128" spans="1:21" x14ac:dyDescent="0.3">
      <c r="A128" s="9">
        <v>127</v>
      </c>
      <c r="B128" s="9" t="s">
        <v>37</v>
      </c>
      <c r="C128" s="9" t="s">
        <v>50</v>
      </c>
      <c r="D128" s="9" t="s">
        <v>94</v>
      </c>
      <c r="E128" s="9" t="s">
        <v>699</v>
      </c>
      <c r="F128" s="9"/>
      <c r="G128" s="9" t="s">
        <v>116</v>
      </c>
      <c r="H128" s="9" t="s">
        <v>97</v>
      </c>
      <c r="I128" s="9" t="s">
        <v>700</v>
      </c>
      <c r="J128" s="9" t="s">
        <v>239</v>
      </c>
      <c r="K128" s="9" t="s">
        <v>463</v>
      </c>
      <c r="L128" s="9" t="s">
        <v>701</v>
      </c>
      <c r="M128" s="9"/>
      <c r="N128" s="9"/>
      <c r="O128" s="11" t="s">
        <v>101</v>
      </c>
      <c r="P128" s="12">
        <v>24.029124339999999</v>
      </c>
      <c r="Q128" s="12">
        <v>-104.65442151000001</v>
      </c>
      <c r="R128" s="9" t="s">
        <v>702</v>
      </c>
      <c r="S128" s="13"/>
      <c r="T128" s="13"/>
      <c r="U128" s="13"/>
    </row>
    <row r="129" spans="1:21" x14ac:dyDescent="0.3">
      <c r="A129" s="9">
        <v>128</v>
      </c>
      <c r="B129" s="9" t="s">
        <v>37</v>
      </c>
      <c r="C129" s="9" t="s">
        <v>50</v>
      </c>
      <c r="D129" s="9" t="s">
        <v>94</v>
      </c>
      <c r="E129" s="9" t="s">
        <v>703</v>
      </c>
      <c r="F129" s="9"/>
      <c r="G129" s="9" t="s">
        <v>116</v>
      </c>
      <c r="H129" s="9" t="s">
        <v>97</v>
      </c>
      <c r="I129" s="9" t="s">
        <v>704</v>
      </c>
      <c r="J129" s="9" t="s">
        <v>705</v>
      </c>
      <c r="K129" s="9" t="s">
        <v>706</v>
      </c>
      <c r="L129" s="9"/>
      <c r="M129" s="9"/>
      <c r="N129" s="9"/>
      <c r="O129" s="11" t="s">
        <v>101</v>
      </c>
      <c r="P129" s="12">
        <v>24.008601729999999</v>
      </c>
      <c r="Q129" s="12">
        <v>-104.6658841</v>
      </c>
      <c r="R129" s="9" t="s">
        <v>707</v>
      </c>
      <c r="S129" s="13"/>
      <c r="T129" s="13"/>
      <c r="U129" s="13"/>
    </row>
    <row r="130" spans="1:21" x14ac:dyDescent="0.3">
      <c r="A130" s="9">
        <v>129</v>
      </c>
      <c r="B130" s="9" t="s">
        <v>37</v>
      </c>
      <c r="C130" s="9" t="s">
        <v>50</v>
      </c>
      <c r="D130" s="9" t="s">
        <v>94</v>
      </c>
      <c r="E130" s="9" t="s">
        <v>708</v>
      </c>
      <c r="F130" s="9"/>
      <c r="G130" s="9" t="s">
        <v>116</v>
      </c>
      <c r="H130" s="9" t="s">
        <v>97</v>
      </c>
      <c r="I130" s="9" t="s">
        <v>124</v>
      </c>
      <c r="J130" s="9" t="s">
        <v>709</v>
      </c>
      <c r="K130" s="9" t="s">
        <v>357</v>
      </c>
      <c r="L130" s="9" t="s">
        <v>710</v>
      </c>
      <c r="M130" s="9"/>
      <c r="N130" s="9"/>
      <c r="O130" s="11" t="s">
        <v>101</v>
      </c>
      <c r="P130" s="12">
        <v>24.019705819999999</v>
      </c>
      <c r="Q130" s="12">
        <v>-104.64525763</v>
      </c>
      <c r="R130" s="9" t="s">
        <v>711</v>
      </c>
      <c r="S130" s="13"/>
      <c r="T130" s="13"/>
      <c r="U130" s="13"/>
    </row>
    <row r="131" spans="1:21" x14ac:dyDescent="0.3">
      <c r="A131" s="9">
        <v>130</v>
      </c>
      <c r="B131" s="9" t="s">
        <v>37</v>
      </c>
      <c r="C131" s="9" t="s">
        <v>50</v>
      </c>
      <c r="D131" s="9" t="s">
        <v>94</v>
      </c>
      <c r="E131" s="9" t="s">
        <v>712</v>
      </c>
      <c r="F131" s="9" t="s">
        <v>713</v>
      </c>
      <c r="G131" s="9" t="s">
        <v>116</v>
      </c>
      <c r="H131" s="9" t="s">
        <v>97</v>
      </c>
      <c r="I131" s="9" t="s">
        <v>714</v>
      </c>
      <c r="J131" s="9" t="s">
        <v>239</v>
      </c>
      <c r="K131" s="9" t="s">
        <v>240</v>
      </c>
      <c r="L131" s="9"/>
      <c r="M131" s="9"/>
      <c r="N131" s="9"/>
      <c r="O131" s="11" t="s">
        <v>101</v>
      </c>
      <c r="P131" s="12">
        <v>24.033981050000001</v>
      </c>
      <c r="Q131" s="12">
        <v>-104.66433039</v>
      </c>
      <c r="R131" s="9" t="s">
        <v>715</v>
      </c>
      <c r="S131" s="13"/>
      <c r="T131" s="13"/>
      <c r="U131" s="13"/>
    </row>
    <row r="132" spans="1:21" x14ac:dyDescent="0.3">
      <c r="A132" s="9">
        <v>131</v>
      </c>
      <c r="B132" s="9" t="s">
        <v>37</v>
      </c>
      <c r="C132" s="9" t="s">
        <v>50</v>
      </c>
      <c r="D132" s="9" t="s">
        <v>94</v>
      </c>
      <c r="E132" s="9" t="s">
        <v>716</v>
      </c>
      <c r="F132" s="9"/>
      <c r="G132" s="9" t="s">
        <v>116</v>
      </c>
      <c r="H132" s="9" t="s">
        <v>97</v>
      </c>
      <c r="I132" s="9" t="s">
        <v>717</v>
      </c>
      <c r="J132" s="9" t="s">
        <v>718</v>
      </c>
      <c r="K132" s="9" t="s">
        <v>719</v>
      </c>
      <c r="L132" s="9" t="s">
        <v>720</v>
      </c>
      <c r="M132" s="9"/>
      <c r="N132" s="9"/>
      <c r="O132" s="11" t="s">
        <v>101</v>
      </c>
      <c r="P132" s="12">
        <v>24.00645055</v>
      </c>
      <c r="Q132" s="12">
        <v>-104.69134754</v>
      </c>
      <c r="R132" s="9" t="s">
        <v>721</v>
      </c>
      <c r="S132" s="13"/>
      <c r="T132" s="13"/>
      <c r="U132" s="13"/>
    </row>
    <row r="133" spans="1:21" x14ac:dyDescent="0.3">
      <c r="A133" s="9">
        <v>132</v>
      </c>
      <c r="B133" s="9" t="s">
        <v>37</v>
      </c>
      <c r="C133" s="9" t="s">
        <v>50</v>
      </c>
      <c r="D133" s="9" t="s">
        <v>94</v>
      </c>
      <c r="E133" s="9" t="s">
        <v>722</v>
      </c>
      <c r="F133" s="9" t="s">
        <v>723</v>
      </c>
      <c r="G133" s="9" t="s">
        <v>116</v>
      </c>
      <c r="H133" s="9" t="s">
        <v>97</v>
      </c>
      <c r="I133" s="9" t="s">
        <v>724</v>
      </c>
      <c r="J133" s="9" t="s">
        <v>158</v>
      </c>
      <c r="K133" s="9" t="s">
        <v>159</v>
      </c>
      <c r="L133" s="9" t="s">
        <v>725</v>
      </c>
      <c r="M133" s="9"/>
      <c r="N133" s="9"/>
      <c r="O133" s="11" t="s">
        <v>101</v>
      </c>
      <c r="P133" s="12">
        <v>24.027121340000001</v>
      </c>
      <c r="Q133" s="12">
        <v>-104.62766073</v>
      </c>
      <c r="R133" s="9" t="s">
        <v>726</v>
      </c>
      <c r="S133" s="13"/>
      <c r="T133" s="13"/>
      <c r="U133" s="13"/>
    </row>
    <row r="134" spans="1:21" x14ac:dyDescent="0.3">
      <c r="A134" s="9">
        <v>133</v>
      </c>
      <c r="B134" s="9" t="s">
        <v>37</v>
      </c>
      <c r="C134" s="9" t="s">
        <v>50</v>
      </c>
      <c r="D134" s="9" t="s">
        <v>94</v>
      </c>
      <c r="E134" s="9" t="s">
        <v>727</v>
      </c>
      <c r="F134" s="9"/>
      <c r="G134" s="9" t="s">
        <v>116</v>
      </c>
      <c r="H134" s="9" t="s">
        <v>97</v>
      </c>
      <c r="I134" s="9" t="s">
        <v>728</v>
      </c>
      <c r="J134" s="9" t="s">
        <v>729</v>
      </c>
      <c r="K134" s="9" t="s">
        <v>152</v>
      </c>
      <c r="L134" s="9" t="s">
        <v>730</v>
      </c>
      <c r="M134" s="9"/>
      <c r="N134" s="9"/>
      <c r="O134" s="11" t="s">
        <v>101</v>
      </c>
      <c r="P134" s="12">
        <v>24.004417140000001</v>
      </c>
      <c r="Q134" s="12">
        <v>-104.65545238999999</v>
      </c>
      <c r="R134" s="9" t="s">
        <v>731</v>
      </c>
      <c r="S134" s="13"/>
      <c r="T134" s="13"/>
      <c r="U134" s="13"/>
    </row>
    <row r="135" spans="1:21" x14ac:dyDescent="0.3">
      <c r="A135" s="9">
        <v>134</v>
      </c>
      <c r="B135" s="9" t="s">
        <v>37</v>
      </c>
      <c r="C135" s="9" t="s">
        <v>50</v>
      </c>
      <c r="D135" s="9" t="s">
        <v>94</v>
      </c>
      <c r="E135" s="9" t="s">
        <v>732</v>
      </c>
      <c r="F135" s="9" t="s">
        <v>733</v>
      </c>
      <c r="G135" s="9" t="s">
        <v>116</v>
      </c>
      <c r="H135" s="9" t="s">
        <v>97</v>
      </c>
      <c r="I135" s="9" t="s">
        <v>734</v>
      </c>
      <c r="J135" s="9" t="s">
        <v>185</v>
      </c>
      <c r="K135" s="9" t="s">
        <v>129</v>
      </c>
      <c r="L135" s="9"/>
      <c r="M135" s="9"/>
      <c r="N135" s="9"/>
      <c r="O135" s="11" t="s">
        <v>101</v>
      </c>
      <c r="P135" s="12">
        <v>24.045118609999999</v>
      </c>
      <c r="Q135" s="12">
        <v>-104.61507865999999</v>
      </c>
      <c r="R135" s="9" t="s">
        <v>735</v>
      </c>
      <c r="S135" s="13"/>
      <c r="T135" s="13"/>
      <c r="U135" s="13"/>
    </row>
    <row r="136" spans="1:21" x14ac:dyDescent="0.3">
      <c r="A136" s="9">
        <v>135</v>
      </c>
      <c r="B136" s="9" t="s">
        <v>37</v>
      </c>
      <c r="C136" s="9" t="s">
        <v>50</v>
      </c>
      <c r="D136" s="9" t="s">
        <v>94</v>
      </c>
      <c r="E136" s="9" t="s">
        <v>736</v>
      </c>
      <c r="F136" s="9"/>
      <c r="G136" s="9" t="s">
        <v>116</v>
      </c>
      <c r="H136" s="9" t="s">
        <v>97</v>
      </c>
      <c r="I136" s="9" t="s">
        <v>737</v>
      </c>
      <c r="J136" s="9" t="s">
        <v>738</v>
      </c>
      <c r="K136" s="9" t="s">
        <v>739</v>
      </c>
      <c r="L136" s="9" t="s">
        <v>740</v>
      </c>
      <c r="M136" s="9"/>
      <c r="N136" s="9"/>
      <c r="O136" s="11" t="s">
        <v>101</v>
      </c>
      <c r="P136" s="12">
        <v>24.013882970000001</v>
      </c>
      <c r="Q136" s="12">
        <v>-104.67925955</v>
      </c>
      <c r="R136" s="9" t="s">
        <v>741</v>
      </c>
      <c r="S136" s="13"/>
      <c r="T136" s="13"/>
      <c r="U136" s="13"/>
    </row>
    <row r="137" spans="1:21" x14ac:dyDescent="0.3">
      <c r="A137" s="9">
        <v>136</v>
      </c>
      <c r="B137" s="9" t="s">
        <v>37</v>
      </c>
      <c r="C137" s="9" t="s">
        <v>50</v>
      </c>
      <c r="D137" s="9" t="s">
        <v>94</v>
      </c>
      <c r="E137" s="9" t="s">
        <v>742</v>
      </c>
      <c r="F137" s="9"/>
      <c r="G137" s="9" t="s">
        <v>116</v>
      </c>
      <c r="H137" s="9" t="s">
        <v>97</v>
      </c>
      <c r="I137" s="9" t="s">
        <v>743</v>
      </c>
      <c r="J137" s="9" t="s">
        <v>546</v>
      </c>
      <c r="K137" s="9" t="s">
        <v>251</v>
      </c>
      <c r="L137" s="9"/>
      <c r="M137" s="9"/>
      <c r="N137" s="9"/>
      <c r="O137" s="11" t="s">
        <v>101</v>
      </c>
      <c r="P137" s="12">
        <v>24.025292820000001</v>
      </c>
      <c r="Q137" s="12">
        <v>-104.6495199</v>
      </c>
      <c r="R137" s="9" t="s">
        <v>744</v>
      </c>
      <c r="S137" s="13"/>
      <c r="T137" s="13"/>
      <c r="U137" s="13"/>
    </row>
    <row r="138" spans="1:21" x14ac:dyDescent="0.3">
      <c r="A138" s="9">
        <v>137</v>
      </c>
      <c r="B138" s="9" t="s">
        <v>37</v>
      </c>
      <c r="C138" s="9" t="s">
        <v>50</v>
      </c>
      <c r="D138" s="9" t="s">
        <v>94</v>
      </c>
      <c r="E138" s="9" t="s">
        <v>745</v>
      </c>
      <c r="F138" s="9"/>
      <c r="G138" s="9" t="s">
        <v>527</v>
      </c>
      <c r="H138" s="9" t="s">
        <v>97</v>
      </c>
      <c r="I138" s="9" t="s">
        <v>746</v>
      </c>
      <c r="J138" s="9" t="s">
        <v>301</v>
      </c>
      <c r="K138" s="9" t="s">
        <v>302</v>
      </c>
      <c r="L138" s="9" t="s">
        <v>747</v>
      </c>
      <c r="M138" s="9"/>
      <c r="N138" s="9"/>
      <c r="O138" s="11" t="s">
        <v>101</v>
      </c>
      <c r="P138" s="12">
        <v>23.997699879999999</v>
      </c>
      <c r="Q138" s="12">
        <v>-104.6491946</v>
      </c>
      <c r="R138" s="9" t="s">
        <v>748</v>
      </c>
      <c r="S138" s="13"/>
      <c r="T138" s="13"/>
      <c r="U138" s="13"/>
    </row>
    <row r="139" spans="1:21" x14ac:dyDescent="0.3">
      <c r="A139" s="9">
        <v>138</v>
      </c>
      <c r="B139" s="9" t="s">
        <v>37</v>
      </c>
      <c r="C139" s="9" t="s">
        <v>50</v>
      </c>
      <c r="D139" s="9" t="s">
        <v>94</v>
      </c>
      <c r="E139" s="9" t="s">
        <v>749</v>
      </c>
      <c r="F139" s="9"/>
      <c r="G139" s="9" t="s">
        <v>96</v>
      </c>
      <c r="H139" s="9" t="s">
        <v>97</v>
      </c>
      <c r="I139" s="9" t="s">
        <v>750</v>
      </c>
      <c r="J139" s="9" t="s">
        <v>751</v>
      </c>
      <c r="K139" s="9" t="s">
        <v>752</v>
      </c>
      <c r="L139" s="9"/>
      <c r="M139" s="9"/>
      <c r="N139" s="9"/>
      <c r="O139" s="11" t="s">
        <v>101</v>
      </c>
      <c r="P139" s="12">
        <v>24.017223080000001</v>
      </c>
      <c r="Q139" s="12">
        <v>-104.65073846</v>
      </c>
      <c r="R139" s="9" t="s">
        <v>753</v>
      </c>
      <c r="S139" s="13"/>
      <c r="T139" s="13"/>
      <c r="U139" s="13"/>
    </row>
    <row r="140" spans="1:21" x14ac:dyDescent="0.3">
      <c r="A140" s="9">
        <v>139</v>
      </c>
      <c r="B140" s="9" t="s">
        <v>37</v>
      </c>
      <c r="C140" s="9" t="s">
        <v>50</v>
      </c>
      <c r="D140" s="9" t="s">
        <v>94</v>
      </c>
      <c r="E140" s="9" t="s">
        <v>754</v>
      </c>
      <c r="F140" s="9" t="s">
        <v>755</v>
      </c>
      <c r="G140" s="9" t="s">
        <v>104</v>
      </c>
      <c r="H140" s="9" t="s">
        <v>97</v>
      </c>
      <c r="I140" s="9" t="s">
        <v>756</v>
      </c>
      <c r="J140" s="9" t="s">
        <v>757</v>
      </c>
      <c r="K140" s="9" t="s">
        <v>468</v>
      </c>
      <c r="L140" s="9"/>
      <c r="M140" s="9"/>
      <c r="N140" s="9"/>
      <c r="O140" s="11" t="s">
        <v>101</v>
      </c>
      <c r="P140" s="12">
        <v>24.020791620000001</v>
      </c>
      <c r="Q140" s="12">
        <v>-104.61475903</v>
      </c>
      <c r="R140" s="9" t="s">
        <v>758</v>
      </c>
      <c r="S140" s="13"/>
      <c r="T140" s="13"/>
      <c r="U140" s="13"/>
    </row>
    <row r="141" spans="1:21" x14ac:dyDescent="0.3">
      <c r="A141" s="9">
        <v>140</v>
      </c>
      <c r="B141" s="9" t="s">
        <v>37</v>
      </c>
      <c r="C141" s="9" t="s">
        <v>50</v>
      </c>
      <c r="D141" s="9" t="s">
        <v>94</v>
      </c>
      <c r="E141" s="9" t="s">
        <v>759</v>
      </c>
      <c r="F141" s="9" t="s">
        <v>760</v>
      </c>
      <c r="G141" s="9" t="s">
        <v>104</v>
      </c>
      <c r="H141" s="9" t="s">
        <v>97</v>
      </c>
      <c r="I141" s="9" t="s">
        <v>761</v>
      </c>
      <c r="J141" s="9" t="s">
        <v>762</v>
      </c>
      <c r="K141" s="9" t="s">
        <v>112</v>
      </c>
      <c r="L141" s="9"/>
      <c r="M141" s="9"/>
      <c r="N141" s="9"/>
      <c r="O141" s="11" t="s">
        <v>101</v>
      </c>
      <c r="P141" s="12">
        <v>24.012052239999999</v>
      </c>
      <c r="Q141" s="12">
        <v>-104.65162415</v>
      </c>
      <c r="R141" s="9" t="s">
        <v>763</v>
      </c>
      <c r="S141" s="13"/>
      <c r="T141" s="13"/>
      <c r="U141" s="13"/>
    </row>
    <row r="142" spans="1:21" x14ac:dyDescent="0.3">
      <c r="A142" s="9">
        <v>141</v>
      </c>
      <c r="B142" s="9" t="s">
        <v>37</v>
      </c>
      <c r="C142" s="9" t="s">
        <v>50</v>
      </c>
      <c r="D142" s="9" t="s">
        <v>94</v>
      </c>
      <c r="E142" s="9" t="s">
        <v>764</v>
      </c>
      <c r="F142" s="9"/>
      <c r="G142" s="9" t="s">
        <v>34</v>
      </c>
      <c r="H142" s="9" t="s">
        <v>97</v>
      </c>
      <c r="I142" s="9" t="s">
        <v>765</v>
      </c>
      <c r="J142" s="9" t="s">
        <v>555</v>
      </c>
      <c r="K142" s="9" t="s">
        <v>556</v>
      </c>
      <c r="L142" s="9" t="s">
        <v>766</v>
      </c>
      <c r="M142" s="9"/>
      <c r="N142" s="9"/>
      <c r="O142" s="11" t="s">
        <v>101</v>
      </c>
      <c r="P142" s="12">
        <v>24.011867089999999</v>
      </c>
      <c r="Q142" s="12">
        <v>-104.68370224</v>
      </c>
      <c r="R142" s="9" t="s">
        <v>767</v>
      </c>
      <c r="S142" s="13"/>
      <c r="T142" s="13"/>
      <c r="U142" s="13"/>
    </row>
    <row r="143" spans="1:21" x14ac:dyDescent="0.3">
      <c r="A143" s="9">
        <v>142</v>
      </c>
      <c r="B143" s="9" t="s">
        <v>37</v>
      </c>
      <c r="C143" s="9" t="s">
        <v>50</v>
      </c>
      <c r="D143" s="9" t="s">
        <v>94</v>
      </c>
      <c r="E143" s="9" t="s">
        <v>768</v>
      </c>
      <c r="F143" s="9"/>
      <c r="G143" s="9" t="s">
        <v>34</v>
      </c>
      <c r="H143" s="9" t="s">
        <v>97</v>
      </c>
      <c r="I143" s="9" t="s">
        <v>769</v>
      </c>
      <c r="J143" s="9" t="s">
        <v>770</v>
      </c>
      <c r="K143" s="9" t="s">
        <v>771</v>
      </c>
      <c r="L143" s="9"/>
      <c r="M143" s="9"/>
      <c r="N143" s="9"/>
      <c r="O143" s="11" t="s">
        <v>101</v>
      </c>
      <c r="P143" s="12">
        <v>24.01327783</v>
      </c>
      <c r="Q143" s="12">
        <v>-104.67553719</v>
      </c>
      <c r="R143" s="9" t="s">
        <v>772</v>
      </c>
      <c r="S143" s="13"/>
      <c r="T143" s="13"/>
      <c r="U143" s="13"/>
    </row>
    <row r="144" spans="1:21" x14ac:dyDescent="0.3">
      <c r="A144" s="9">
        <v>143</v>
      </c>
      <c r="B144" s="9" t="s">
        <v>37</v>
      </c>
      <c r="C144" s="9" t="s">
        <v>50</v>
      </c>
      <c r="D144" s="9" t="s">
        <v>94</v>
      </c>
      <c r="E144" s="9" t="s">
        <v>773</v>
      </c>
      <c r="F144" s="9" t="s">
        <v>774</v>
      </c>
      <c r="G144" s="9" t="s">
        <v>96</v>
      </c>
      <c r="H144" s="9" t="s">
        <v>97</v>
      </c>
      <c r="I144" s="9" t="s">
        <v>775</v>
      </c>
      <c r="J144" s="9" t="s">
        <v>776</v>
      </c>
      <c r="K144" s="9" t="s">
        <v>364</v>
      </c>
      <c r="L144" s="9"/>
      <c r="M144" s="9"/>
      <c r="N144" s="9"/>
      <c r="O144" s="11" t="s">
        <v>101</v>
      </c>
      <c r="P144" s="12">
        <v>24.056201600000001</v>
      </c>
      <c r="Q144" s="12">
        <v>-104.5980168</v>
      </c>
      <c r="R144" s="9" t="s">
        <v>777</v>
      </c>
      <c r="S144" s="13"/>
      <c r="T144" s="13"/>
      <c r="U144" s="13"/>
    </row>
    <row r="145" spans="1:21" x14ac:dyDescent="0.3">
      <c r="A145" s="9">
        <v>144</v>
      </c>
      <c r="B145" s="9" t="s">
        <v>37</v>
      </c>
      <c r="C145" s="9" t="s">
        <v>50</v>
      </c>
      <c r="D145" s="9" t="s">
        <v>94</v>
      </c>
      <c r="E145" s="9" t="s">
        <v>778</v>
      </c>
      <c r="F145" s="9"/>
      <c r="G145" s="9" t="s">
        <v>116</v>
      </c>
      <c r="H145" s="9" t="s">
        <v>97</v>
      </c>
      <c r="I145" s="9" t="s">
        <v>779</v>
      </c>
      <c r="J145" s="9" t="s">
        <v>780</v>
      </c>
      <c r="K145" s="9" t="s">
        <v>653</v>
      </c>
      <c r="L145" s="9"/>
      <c r="M145" s="9"/>
      <c r="N145" s="9"/>
      <c r="O145" s="11" t="s">
        <v>101</v>
      </c>
      <c r="P145" s="12">
        <v>24.041214929999999</v>
      </c>
      <c r="Q145" s="12">
        <v>-104.66888068</v>
      </c>
      <c r="R145" s="9" t="s">
        <v>781</v>
      </c>
      <c r="S145" s="13"/>
      <c r="T145" s="13"/>
      <c r="U145" s="13"/>
    </row>
    <row r="146" spans="1:21" x14ac:dyDescent="0.3">
      <c r="A146" s="9">
        <v>145</v>
      </c>
      <c r="B146" s="9" t="s">
        <v>37</v>
      </c>
      <c r="C146" s="9" t="s">
        <v>50</v>
      </c>
      <c r="D146" s="9" t="s">
        <v>94</v>
      </c>
      <c r="E146" s="9" t="s">
        <v>782</v>
      </c>
      <c r="F146" s="9"/>
      <c r="G146" s="9" t="s">
        <v>104</v>
      </c>
      <c r="H146" s="9" t="s">
        <v>97</v>
      </c>
      <c r="I146" s="9" t="s">
        <v>783</v>
      </c>
      <c r="J146" s="9" t="s">
        <v>784</v>
      </c>
      <c r="K146" s="9" t="s">
        <v>785</v>
      </c>
      <c r="L146" s="9" t="s">
        <v>786</v>
      </c>
      <c r="M146" s="9" t="s">
        <v>787</v>
      </c>
      <c r="N146" s="9"/>
      <c r="O146" s="11" t="s">
        <v>101</v>
      </c>
      <c r="P146" s="12">
        <v>23.99664602</v>
      </c>
      <c r="Q146" s="12">
        <v>-104.63008515999999</v>
      </c>
      <c r="R146" s="9" t="s">
        <v>788</v>
      </c>
      <c r="S146" s="13"/>
      <c r="T146" s="13"/>
      <c r="U146" s="13"/>
    </row>
    <row r="147" spans="1:21" x14ac:dyDescent="0.3">
      <c r="A147" s="9">
        <v>146</v>
      </c>
      <c r="B147" s="9" t="s">
        <v>37</v>
      </c>
      <c r="C147" s="9" t="s">
        <v>50</v>
      </c>
      <c r="D147" s="9" t="s">
        <v>94</v>
      </c>
      <c r="E147" s="9" t="s">
        <v>789</v>
      </c>
      <c r="F147" s="9"/>
      <c r="G147" s="9" t="s">
        <v>790</v>
      </c>
      <c r="H147" s="9" t="s">
        <v>97</v>
      </c>
      <c r="I147" s="9" t="s">
        <v>791</v>
      </c>
      <c r="J147" s="9" t="s">
        <v>239</v>
      </c>
      <c r="K147" s="9" t="s">
        <v>240</v>
      </c>
      <c r="L147" s="9" t="s">
        <v>792</v>
      </c>
      <c r="M147" s="9" t="s">
        <v>793</v>
      </c>
      <c r="N147" s="9"/>
      <c r="O147" s="11" t="s">
        <v>101</v>
      </c>
      <c r="P147" s="12">
        <v>24.031094289999999</v>
      </c>
      <c r="Q147" s="12">
        <v>-104.66007149000001</v>
      </c>
      <c r="R147" s="9" t="s">
        <v>794</v>
      </c>
      <c r="S147" s="13"/>
      <c r="T147" s="13"/>
      <c r="U147" s="13"/>
    </row>
    <row r="148" spans="1:21" x14ac:dyDescent="0.3">
      <c r="A148" s="9">
        <v>147</v>
      </c>
      <c r="B148" s="9" t="s">
        <v>37</v>
      </c>
      <c r="C148" s="9" t="s">
        <v>50</v>
      </c>
      <c r="D148" s="9" t="s">
        <v>94</v>
      </c>
      <c r="E148" s="9" t="s">
        <v>795</v>
      </c>
      <c r="F148" s="9"/>
      <c r="G148" s="9" t="s">
        <v>790</v>
      </c>
      <c r="H148" s="9" t="s">
        <v>97</v>
      </c>
      <c r="I148" s="9" t="s">
        <v>796</v>
      </c>
      <c r="J148" s="9" t="s">
        <v>797</v>
      </c>
      <c r="K148" s="9" t="s">
        <v>240</v>
      </c>
      <c r="L148" s="9" t="s">
        <v>798</v>
      </c>
      <c r="M148" s="9" t="s">
        <v>799</v>
      </c>
      <c r="N148" s="9"/>
      <c r="O148" s="11" t="s">
        <v>101</v>
      </c>
      <c r="P148" s="12">
        <v>24.023711769999998</v>
      </c>
      <c r="Q148" s="12">
        <v>-104.65742474</v>
      </c>
      <c r="R148" s="9" t="s">
        <v>800</v>
      </c>
      <c r="S148" s="13"/>
      <c r="T148" s="13"/>
      <c r="U148" s="13"/>
    </row>
    <row r="149" spans="1:21" x14ac:dyDescent="0.3">
      <c r="A149" s="9">
        <v>148</v>
      </c>
      <c r="B149" s="9" t="s">
        <v>37</v>
      </c>
      <c r="C149" s="9" t="s">
        <v>50</v>
      </c>
      <c r="D149" s="9" t="s">
        <v>94</v>
      </c>
      <c r="E149" s="9" t="s">
        <v>801</v>
      </c>
      <c r="F149" s="9"/>
      <c r="G149" s="9" t="s">
        <v>790</v>
      </c>
      <c r="H149" s="9" t="s">
        <v>97</v>
      </c>
      <c r="I149" s="9" t="s">
        <v>802</v>
      </c>
      <c r="J149" s="9" t="s">
        <v>803</v>
      </c>
      <c r="K149" s="9" t="s">
        <v>596</v>
      </c>
      <c r="L149" s="9"/>
      <c r="M149" s="9"/>
      <c r="N149" s="9"/>
      <c r="O149" s="11" t="s">
        <v>101</v>
      </c>
      <c r="P149" s="12">
        <v>24.057053490000001</v>
      </c>
      <c r="Q149" s="12">
        <v>-104.61203229</v>
      </c>
      <c r="R149" s="9" t="s">
        <v>804</v>
      </c>
      <c r="S149" s="13"/>
      <c r="T149" s="13"/>
      <c r="U149" s="13"/>
    </row>
    <row r="150" spans="1:21" x14ac:dyDescent="0.3">
      <c r="A150" s="9">
        <v>149</v>
      </c>
      <c r="B150" s="9" t="s">
        <v>37</v>
      </c>
      <c r="C150" s="9" t="s">
        <v>50</v>
      </c>
      <c r="D150" s="9" t="s">
        <v>94</v>
      </c>
      <c r="E150" s="9" t="s">
        <v>805</v>
      </c>
      <c r="F150" s="9"/>
      <c r="G150" s="9" t="s">
        <v>790</v>
      </c>
      <c r="H150" s="9" t="s">
        <v>97</v>
      </c>
      <c r="I150" s="9" t="s">
        <v>806</v>
      </c>
      <c r="J150" s="9" t="s">
        <v>239</v>
      </c>
      <c r="K150" s="9" t="s">
        <v>240</v>
      </c>
      <c r="L150" s="9" t="s">
        <v>807</v>
      </c>
      <c r="M150" s="9"/>
      <c r="N150" s="9"/>
      <c r="O150" s="11" t="s">
        <v>101</v>
      </c>
      <c r="P150" s="12">
        <v>24.029335440000001</v>
      </c>
      <c r="Q150" s="12">
        <v>-104.67467074</v>
      </c>
      <c r="R150" s="9" t="s">
        <v>808</v>
      </c>
      <c r="S150" s="13"/>
      <c r="T150" s="13"/>
      <c r="U150" s="13"/>
    </row>
    <row r="151" spans="1:21" x14ac:dyDescent="0.3">
      <c r="A151" s="9">
        <v>150</v>
      </c>
      <c r="B151" s="9" t="s">
        <v>37</v>
      </c>
      <c r="C151" s="9" t="s">
        <v>50</v>
      </c>
      <c r="D151" s="9" t="s">
        <v>94</v>
      </c>
      <c r="E151" s="9" t="s">
        <v>809</v>
      </c>
      <c r="F151" s="9"/>
      <c r="G151" s="9" t="s">
        <v>790</v>
      </c>
      <c r="H151" s="9" t="s">
        <v>97</v>
      </c>
      <c r="I151" s="9" t="s">
        <v>810</v>
      </c>
      <c r="J151" s="9" t="s">
        <v>811</v>
      </c>
      <c r="K151" s="9" t="s">
        <v>226</v>
      </c>
      <c r="L151" s="9"/>
      <c r="M151" s="9" t="s">
        <v>812</v>
      </c>
      <c r="N151" s="9"/>
      <c r="O151" s="11" t="s">
        <v>101</v>
      </c>
      <c r="P151" s="12">
        <v>24.034931839999999</v>
      </c>
      <c r="Q151" s="12">
        <v>-104.65304392</v>
      </c>
      <c r="R151" s="9" t="s">
        <v>813</v>
      </c>
      <c r="S151" s="13"/>
      <c r="T151" s="13"/>
      <c r="U151" s="13"/>
    </row>
    <row r="152" spans="1:21" x14ac:dyDescent="0.3">
      <c r="A152" s="9">
        <v>151</v>
      </c>
      <c r="B152" s="9" t="s">
        <v>37</v>
      </c>
      <c r="C152" s="9" t="s">
        <v>50</v>
      </c>
      <c r="D152" s="9" t="s">
        <v>94</v>
      </c>
      <c r="E152" s="9" t="s">
        <v>814</v>
      </c>
      <c r="F152" s="9"/>
      <c r="G152" s="9" t="s">
        <v>790</v>
      </c>
      <c r="H152" s="9" t="s">
        <v>438</v>
      </c>
      <c r="I152" s="9" t="s">
        <v>815</v>
      </c>
      <c r="J152" s="9" t="s">
        <v>519</v>
      </c>
      <c r="K152" s="9" t="s">
        <v>112</v>
      </c>
      <c r="L152" s="9" t="s">
        <v>816</v>
      </c>
      <c r="M152" s="9"/>
      <c r="N152" s="9"/>
      <c r="O152" s="11" t="s">
        <v>101</v>
      </c>
      <c r="P152" s="12">
        <v>24.00304002</v>
      </c>
      <c r="Q152" s="12">
        <v>-104.65336574</v>
      </c>
      <c r="R152" s="9" t="s">
        <v>817</v>
      </c>
      <c r="S152" s="13"/>
      <c r="T152" s="13"/>
      <c r="U152" s="13"/>
    </row>
    <row r="153" spans="1:21" x14ac:dyDescent="0.3">
      <c r="A153" s="9">
        <v>152</v>
      </c>
      <c r="B153" s="9" t="s">
        <v>37</v>
      </c>
      <c r="C153" s="9" t="s">
        <v>50</v>
      </c>
      <c r="D153" s="9" t="s">
        <v>94</v>
      </c>
      <c r="E153" s="9" t="s">
        <v>818</v>
      </c>
      <c r="F153" s="9"/>
      <c r="G153" s="9" t="s">
        <v>104</v>
      </c>
      <c r="H153" s="9" t="s">
        <v>97</v>
      </c>
      <c r="I153" s="9" t="s">
        <v>819</v>
      </c>
      <c r="J153" s="9" t="s">
        <v>820</v>
      </c>
      <c r="K153" s="9" t="s">
        <v>274</v>
      </c>
      <c r="L153" s="9"/>
      <c r="M153" s="9"/>
      <c r="N153" s="9"/>
      <c r="O153" s="11" t="s">
        <v>101</v>
      </c>
      <c r="P153" s="12">
        <v>24.049825760000001</v>
      </c>
      <c r="Q153" s="12">
        <v>-104.63380284</v>
      </c>
      <c r="R153" s="9" t="s">
        <v>821</v>
      </c>
      <c r="S153" s="13"/>
      <c r="T153" s="13"/>
      <c r="U153" s="13"/>
    </row>
    <row r="154" spans="1:21" x14ac:dyDescent="0.3">
      <c r="A154" s="9">
        <v>153</v>
      </c>
      <c r="B154" s="9" t="s">
        <v>38</v>
      </c>
      <c r="C154" s="9" t="s">
        <v>51</v>
      </c>
      <c r="D154" s="9" t="s">
        <v>51</v>
      </c>
      <c r="E154" s="9" t="s">
        <v>822</v>
      </c>
      <c r="F154" s="9" t="s">
        <v>823</v>
      </c>
      <c r="G154" s="9" t="s">
        <v>104</v>
      </c>
      <c r="H154" s="9" t="s">
        <v>824</v>
      </c>
      <c r="I154" s="9" t="s">
        <v>825</v>
      </c>
      <c r="J154" s="9" t="s">
        <v>826</v>
      </c>
      <c r="K154" s="9" t="s">
        <v>827</v>
      </c>
      <c r="L154" s="9"/>
      <c r="M154" s="9" t="s">
        <v>828</v>
      </c>
      <c r="N154" s="9"/>
      <c r="O154" s="11" t="s">
        <v>101</v>
      </c>
      <c r="P154" s="12">
        <v>25.571380619999999</v>
      </c>
      <c r="Q154" s="12">
        <v>-103.45424108</v>
      </c>
      <c r="R154" s="9" t="s">
        <v>829</v>
      </c>
      <c r="S154" s="13"/>
      <c r="T154" s="13"/>
      <c r="U154" s="13"/>
    </row>
    <row r="155" spans="1:21" x14ac:dyDescent="0.3">
      <c r="A155" s="9">
        <v>154</v>
      </c>
      <c r="B155" s="9" t="s">
        <v>38</v>
      </c>
      <c r="C155" s="9" t="s">
        <v>51</v>
      </c>
      <c r="D155" s="9" t="s">
        <v>51</v>
      </c>
      <c r="E155" s="9" t="s">
        <v>830</v>
      </c>
      <c r="F155" s="9" t="s">
        <v>831</v>
      </c>
      <c r="G155" s="9" t="s">
        <v>104</v>
      </c>
      <c r="H155" s="9" t="s">
        <v>97</v>
      </c>
      <c r="I155" s="9" t="s">
        <v>832</v>
      </c>
      <c r="J155" s="9" t="s">
        <v>833</v>
      </c>
      <c r="K155" s="9" t="s">
        <v>834</v>
      </c>
      <c r="L155" s="9"/>
      <c r="M155" s="9"/>
      <c r="N155" s="9"/>
      <c r="O155" s="11" t="s">
        <v>101</v>
      </c>
      <c r="P155" s="12">
        <v>25.565583589999999</v>
      </c>
      <c r="Q155" s="12">
        <v>-103.4834815</v>
      </c>
      <c r="R155" s="9" t="s">
        <v>835</v>
      </c>
      <c r="S155" s="13"/>
      <c r="T155" s="13"/>
      <c r="U155" s="13"/>
    </row>
    <row r="156" spans="1:21" x14ac:dyDescent="0.3">
      <c r="A156" s="9">
        <v>155</v>
      </c>
      <c r="B156" s="9" t="s">
        <v>38</v>
      </c>
      <c r="C156" s="9" t="s">
        <v>51</v>
      </c>
      <c r="D156" s="9" t="s">
        <v>51</v>
      </c>
      <c r="E156" s="9" t="s">
        <v>836</v>
      </c>
      <c r="F156" s="9"/>
      <c r="G156" s="9" t="s">
        <v>34</v>
      </c>
      <c r="H156" s="9" t="s">
        <v>97</v>
      </c>
      <c r="I156" s="9" t="s">
        <v>837</v>
      </c>
      <c r="J156" s="9" t="s">
        <v>838</v>
      </c>
      <c r="K156" s="9" t="s">
        <v>839</v>
      </c>
      <c r="L156" s="9"/>
      <c r="M156" s="9" t="s">
        <v>840</v>
      </c>
      <c r="N156" s="9"/>
      <c r="O156" s="11" t="s">
        <v>101</v>
      </c>
      <c r="P156" s="12">
        <v>25.595905729999998</v>
      </c>
      <c r="Q156" s="12">
        <v>-103.50700935</v>
      </c>
      <c r="R156" s="9" t="s">
        <v>841</v>
      </c>
      <c r="S156" s="13"/>
      <c r="T156" s="13"/>
      <c r="U156" s="13"/>
    </row>
    <row r="157" spans="1:21" x14ac:dyDescent="0.3">
      <c r="A157" s="9">
        <v>156</v>
      </c>
      <c r="B157" s="9" t="s">
        <v>38</v>
      </c>
      <c r="C157" s="9" t="s">
        <v>51</v>
      </c>
      <c r="D157" s="9" t="s">
        <v>51</v>
      </c>
      <c r="E157" s="9" t="s">
        <v>842</v>
      </c>
      <c r="F157" s="9" t="s">
        <v>843</v>
      </c>
      <c r="G157" s="9" t="s">
        <v>116</v>
      </c>
      <c r="H157" s="9" t="s">
        <v>97</v>
      </c>
      <c r="I157" s="9" t="s">
        <v>844</v>
      </c>
      <c r="J157" s="9" t="s">
        <v>845</v>
      </c>
      <c r="K157" s="9" t="s">
        <v>846</v>
      </c>
      <c r="L157" s="9"/>
      <c r="M157" s="9"/>
      <c r="N157" s="9"/>
      <c r="O157" s="11" t="s">
        <v>101</v>
      </c>
      <c r="P157" s="12">
        <v>25.56426183</v>
      </c>
      <c r="Q157" s="12">
        <v>-103.50929926000001</v>
      </c>
      <c r="R157" s="9" t="s">
        <v>847</v>
      </c>
      <c r="S157" s="13"/>
      <c r="T157" s="13"/>
      <c r="U157" s="13"/>
    </row>
    <row r="158" spans="1:21" x14ac:dyDescent="0.3">
      <c r="A158" s="9">
        <v>157</v>
      </c>
      <c r="B158" s="9" t="s">
        <v>38</v>
      </c>
      <c r="C158" s="9" t="s">
        <v>51</v>
      </c>
      <c r="D158" s="9" t="s">
        <v>51</v>
      </c>
      <c r="E158" s="9" t="s">
        <v>848</v>
      </c>
      <c r="F158" s="9"/>
      <c r="G158" s="9" t="s">
        <v>34</v>
      </c>
      <c r="H158" s="9" t="s">
        <v>97</v>
      </c>
      <c r="I158" s="9" t="s">
        <v>849</v>
      </c>
      <c r="J158" s="9" t="s">
        <v>850</v>
      </c>
      <c r="K158" s="9" t="s">
        <v>851</v>
      </c>
      <c r="L158" s="9"/>
      <c r="M158" s="9" t="s">
        <v>852</v>
      </c>
      <c r="N158" s="9"/>
      <c r="O158" s="11" t="s">
        <v>101</v>
      </c>
      <c r="P158" s="12">
        <v>25.59653612</v>
      </c>
      <c r="Q158" s="12">
        <v>-103.49784649999999</v>
      </c>
      <c r="R158" s="9" t="s">
        <v>853</v>
      </c>
      <c r="S158" s="13"/>
      <c r="T158" s="13"/>
      <c r="U158" s="13"/>
    </row>
    <row r="159" spans="1:21" x14ac:dyDescent="0.3">
      <c r="A159" s="9">
        <v>158</v>
      </c>
      <c r="B159" s="9" t="s">
        <v>38</v>
      </c>
      <c r="C159" s="9" t="s">
        <v>51</v>
      </c>
      <c r="D159" s="9" t="s">
        <v>51</v>
      </c>
      <c r="E159" s="9" t="s">
        <v>854</v>
      </c>
      <c r="F159" s="9"/>
      <c r="G159" s="9" t="s">
        <v>104</v>
      </c>
      <c r="H159" s="9" t="s">
        <v>97</v>
      </c>
      <c r="I159" s="9" t="s">
        <v>855</v>
      </c>
      <c r="J159" s="9" t="s">
        <v>239</v>
      </c>
      <c r="K159" s="9" t="s">
        <v>856</v>
      </c>
      <c r="L159" s="9" t="s">
        <v>857</v>
      </c>
      <c r="M159" s="9"/>
      <c r="N159" s="9"/>
      <c r="O159" s="11" t="s">
        <v>101</v>
      </c>
      <c r="P159" s="12">
        <v>25.559979940000002</v>
      </c>
      <c r="Q159" s="12">
        <v>-103.49246837</v>
      </c>
      <c r="R159" s="9" t="s">
        <v>858</v>
      </c>
      <c r="S159" s="13"/>
      <c r="T159" s="13"/>
      <c r="U159" s="13"/>
    </row>
    <row r="160" spans="1:21" x14ac:dyDescent="0.3">
      <c r="A160" s="9">
        <v>159</v>
      </c>
      <c r="B160" s="9" t="s">
        <v>38</v>
      </c>
      <c r="C160" s="9" t="s">
        <v>51</v>
      </c>
      <c r="D160" s="9" t="s">
        <v>51</v>
      </c>
      <c r="E160" s="9" t="s">
        <v>859</v>
      </c>
      <c r="F160" s="9" t="s">
        <v>860</v>
      </c>
      <c r="G160" s="9" t="s">
        <v>104</v>
      </c>
      <c r="H160" s="9" t="s">
        <v>97</v>
      </c>
      <c r="I160" s="9" t="s">
        <v>861</v>
      </c>
      <c r="J160" s="9" t="s">
        <v>862</v>
      </c>
      <c r="K160" s="9" t="s">
        <v>863</v>
      </c>
      <c r="L160" s="9" t="s">
        <v>864</v>
      </c>
      <c r="M160" s="9"/>
      <c r="N160" s="9"/>
      <c r="O160" s="11" t="s">
        <v>101</v>
      </c>
      <c r="P160" s="12">
        <v>25.593536879999998</v>
      </c>
      <c r="Q160" s="12">
        <v>-103.51364617999999</v>
      </c>
      <c r="R160" s="9" t="s">
        <v>865</v>
      </c>
      <c r="S160" s="13"/>
      <c r="T160" s="13"/>
      <c r="U160" s="13"/>
    </row>
    <row r="161" spans="1:21" x14ac:dyDescent="0.3">
      <c r="A161" s="9">
        <v>160</v>
      </c>
      <c r="B161" s="9" t="s">
        <v>38</v>
      </c>
      <c r="C161" s="9" t="s">
        <v>51</v>
      </c>
      <c r="D161" s="9" t="s">
        <v>51</v>
      </c>
      <c r="E161" s="9" t="s">
        <v>866</v>
      </c>
      <c r="F161" s="9"/>
      <c r="G161" s="9" t="s">
        <v>104</v>
      </c>
      <c r="H161" s="9" t="s">
        <v>97</v>
      </c>
      <c r="I161" s="9" t="s">
        <v>867</v>
      </c>
      <c r="J161" s="9" t="s">
        <v>868</v>
      </c>
      <c r="K161" s="9" t="s">
        <v>869</v>
      </c>
      <c r="L161" s="9" t="s">
        <v>870</v>
      </c>
      <c r="M161" s="9"/>
      <c r="N161" s="9"/>
      <c r="O161" s="11" t="s">
        <v>101</v>
      </c>
      <c r="P161" s="12">
        <v>25.591660269999998</v>
      </c>
      <c r="Q161" s="12">
        <v>-103.50585312</v>
      </c>
      <c r="R161" s="9" t="s">
        <v>871</v>
      </c>
      <c r="S161" s="13"/>
      <c r="T161" s="13"/>
      <c r="U161" s="13"/>
    </row>
    <row r="162" spans="1:21" x14ac:dyDescent="0.3">
      <c r="A162" s="9">
        <v>161</v>
      </c>
      <c r="B162" s="9" t="s">
        <v>38</v>
      </c>
      <c r="C162" s="9" t="s">
        <v>51</v>
      </c>
      <c r="D162" s="9" t="s">
        <v>51</v>
      </c>
      <c r="E162" s="9" t="s">
        <v>872</v>
      </c>
      <c r="F162" s="9"/>
      <c r="G162" s="9" t="s">
        <v>104</v>
      </c>
      <c r="H162" s="9" t="s">
        <v>97</v>
      </c>
      <c r="I162" s="9" t="s">
        <v>873</v>
      </c>
      <c r="J162" s="9" t="s">
        <v>239</v>
      </c>
      <c r="K162" s="9" t="s">
        <v>856</v>
      </c>
      <c r="L162" s="9"/>
      <c r="M162" s="9"/>
      <c r="N162" s="9"/>
      <c r="O162" s="11" t="s">
        <v>101</v>
      </c>
      <c r="P162" s="12">
        <v>25.56755609</v>
      </c>
      <c r="Q162" s="12">
        <v>-103.50343334999999</v>
      </c>
      <c r="R162" s="9" t="s">
        <v>874</v>
      </c>
      <c r="S162" s="13"/>
      <c r="T162" s="13"/>
      <c r="U162" s="13"/>
    </row>
    <row r="163" spans="1:21" x14ac:dyDescent="0.3">
      <c r="A163" s="9">
        <v>162</v>
      </c>
      <c r="B163" s="9" t="s">
        <v>38</v>
      </c>
      <c r="C163" s="9" t="s">
        <v>51</v>
      </c>
      <c r="D163" s="9" t="s">
        <v>51</v>
      </c>
      <c r="E163" s="9" t="s">
        <v>875</v>
      </c>
      <c r="F163" s="9"/>
      <c r="G163" s="9" t="s">
        <v>104</v>
      </c>
      <c r="H163" s="9" t="s">
        <v>438</v>
      </c>
      <c r="I163" s="9" t="s">
        <v>876</v>
      </c>
      <c r="J163" s="9" t="s">
        <v>877</v>
      </c>
      <c r="K163" s="9" t="s">
        <v>851</v>
      </c>
      <c r="L163" s="9" t="s">
        <v>878</v>
      </c>
      <c r="M163" s="9"/>
      <c r="N163" s="9"/>
      <c r="O163" s="11" t="s">
        <v>101</v>
      </c>
      <c r="P163" s="12">
        <v>25.591123119999999</v>
      </c>
      <c r="Q163" s="12">
        <v>-103.49575296</v>
      </c>
      <c r="R163" s="9" t="s">
        <v>879</v>
      </c>
      <c r="S163" s="13"/>
      <c r="T163" s="13"/>
      <c r="U163" s="13"/>
    </row>
    <row r="164" spans="1:21" x14ac:dyDescent="0.3">
      <c r="A164" s="9">
        <v>163</v>
      </c>
      <c r="B164" s="9" t="s">
        <v>38</v>
      </c>
      <c r="C164" s="9" t="s">
        <v>51</v>
      </c>
      <c r="D164" s="9" t="s">
        <v>51</v>
      </c>
      <c r="E164" s="9" t="s">
        <v>880</v>
      </c>
      <c r="F164" s="9"/>
      <c r="G164" s="9" t="s">
        <v>104</v>
      </c>
      <c r="H164" s="9" t="s">
        <v>97</v>
      </c>
      <c r="I164" s="9" t="s">
        <v>881</v>
      </c>
      <c r="J164" s="9" t="s">
        <v>882</v>
      </c>
      <c r="K164" s="9" t="s">
        <v>883</v>
      </c>
      <c r="L164" s="9"/>
      <c r="M164" s="9"/>
      <c r="N164" s="9"/>
      <c r="O164" s="11" t="s">
        <v>101</v>
      </c>
      <c r="P164" s="12">
        <v>25.55320167</v>
      </c>
      <c r="Q164" s="12">
        <v>-103.49181919999999</v>
      </c>
      <c r="R164" s="9" t="s">
        <v>884</v>
      </c>
      <c r="S164" s="13"/>
      <c r="T164" s="13"/>
      <c r="U164" s="13"/>
    </row>
    <row r="165" spans="1:21" x14ac:dyDescent="0.3">
      <c r="A165" s="9">
        <v>164</v>
      </c>
      <c r="B165" s="9" t="s">
        <v>38</v>
      </c>
      <c r="C165" s="9" t="s">
        <v>51</v>
      </c>
      <c r="D165" s="9" t="s">
        <v>51</v>
      </c>
      <c r="E165" s="9" t="s">
        <v>284</v>
      </c>
      <c r="F165" s="9"/>
      <c r="G165" s="9" t="s">
        <v>104</v>
      </c>
      <c r="H165" s="9" t="s">
        <v>97</v>
      </c>
      <c r="I165" s="9" t="s">
        <v>885</v>
      </c>
      <c r="J165" s="9" t="s">
        <v>886</v>
      </c>
      <c r="K165" s="9" t="s">
        <v>856</v>
      </c>
      <c r="L165" s="9"/>
      <c r="M165" s="9"/>
      <c r="N165" s="9"/>
      <c r="O165" s="11" t="s">
        <v>101</v>
      </c>
      <c r="P165" s="12">
        <v>25.559229999999999</v>
      </c>
      <c r="Q165" s="12">
        <v>-103.50601945</v>
      </c>
      <c r="R165" s="9" t="s">
        <v>887</v>
      </c>
      <c r="S165" s="13"/>
      <c r="T165" s="13"/>
      <c r="U165" s="13"/>
    </row>
    <row r="166" spans="1:21" x14ac:dyDescent="0.3">
      <c r="A166" s="9">
        <v>165</v>
      </c>
      <c r="B166" s="9" t="s">
        <v>38</v>
      </c>
      <c r="C166" s="9" t="s">
        <v>51</v>
      </c>
      <c r="D166" s="9" t="s">
        <v>51</v>
      </c>
      <c r="E166" s="9" t="s">
        <v>888</v>
      </c>
      <c r="F166" s="9"/>
      <c r="G166" s="9" t="s">
        <v>104</v>
      </c>
      <c r="H166" s="9" t="s">
        <v>438</v>
      </c>
      <c r="I166" s="9" t="s">
        <v>889</v>
      </c>
      <c r="J166" s="9" t="s">
        <v>890</v>
      </c>
      <c r="K166" s="9" t="s">
        <v>891</v>
      </c>
      <c r="L166" s="9" t="s">
        <v>892</v>
      </c>
      <c r="M166" s="9" t="s">
        <v>893</v>
      </c>
      <c r="N166" s="9"/>
      <c r="O166" s="11" t="s">
        <v>101</v>
      </c>
      <c r="P166" s="12">
        <v>25.59393579</v>
      </c>
      <c r="Q166" s="12">
        <v>-103.44680099</v>
      </c>
      <c r="R166" s="9" t="s">
        <v>894</v>
      </c>
      <c r="S166" s="13"/>
      <c r="T166" s="13"/>
      <c r="U166" s="13"/>
    </row>
    <row r="167" spans="1:21" x14ac:dyDescent="0.3">
      <c r="A167" s="9">
        <v>166</v>
      </c>
      <c r="B167" s="9" t="s">
        <v>38</v>
      </c>
      <c r="C167" s="9" t="s">
        <v>51</v>
      </c>
      <c r="D167" s="9" t="s">
        <v>51</v>
      </c>
      <c r="E167" s="9" t="s">
        <v>895</v>
      </c>
      <c r="F167" s="9"/>
      <c r="G167" s="9" t="s">
        <v>104</v>
      </c>
      <c r="H167" s="9" t="s">
        <v>97</v>
      </c>
      <c r="I167" s="9" t="s">
        <v>896</v>
      </c>
      <c r="J167" s="9" t="s">
        <v>897</v>
      </c>
      <c r="K167" s="9" t="s">
        <v>898</v>
      </c>
      <c r="L167" s="9" t="s">
        <v>899</v>
      </c>
      <c r="M167" s="9"/>
      <c r="N167" s="9" t="s">
        <v>900</v>
      </c>
      <c r="O167" s="11" t="s">
        <v>101</v>
      </c>
      <c r="P167" s="12">
        <v>25.57878118</v>
      </c>
      <c r="Q167" s="12">
        <v>-103.49710474</v>
      </c>
      <c r="R167" s="9" t="s">
        <v>901</v>
      </c>
      <c r="S167" s="13"/>
      <c r="T167" s="13"/>
      <c r="U167" s="13"/>
    </row>
    <row r="168" spans="1:21" x14ac:dyDescent="0.3">
      <c r="A168" s="9">
        <v>167</v>
      </c>
      <c r="B168" s="9" t="s">
        <v>38</v>
      </c>
      <c r="C168" s="9" t="s">
        <v>51</v>
      </c>
      <c r="D168" s="9" t="s">
        <v>51</v>
      </c>
      <c r="E168" s="9" t="s">
        <v>902</v>
      </c>
      <c r="F168" s="9"/>
      <c r="G168" s="9" t="s">
        <v>104</v>
      </c>
      <c r="H168" s="9" t="s">
        <v>97</v>
      </c>
      <c r="I168" s="9" t="s">
        <v>903</v>
      </c>
      <c r="J168" s="9" t="s">
        <v>904</v>
      </c>
      <c r="K168" s="9" t="s">
        <v>905</v>
      </c>
      <c r="L168" s="9" t="s">
        <v>906</v>
      </c>
      <c r="M168" s="9"/>
      <c r="N168" s="9"/>
      <c r="O168" s="11" t="s">
        <v>101</v>
      </c>
      <c r="P168" s="12">
        <v>25.595350450000002</v>
      </c>
      <c r="Q168" s="12">
        <v>-103.48139132</v>
      </c>
      <c r="R168" s="9" t="s">
        <v>907</v>
      </c>
      <c r="S168" s="13"/>
      <c r="T168" s="13"/>
      <c r="U168" s="13"/>
    </row>
    <row r="169" spans="1:21" x14ac:dyDescent="0.3">
      <c r="A169" s="9">
        <v>168</v>
      </c>
      <c r="B169" s="9" t="s">
        <v>38</v>
      </c>
      <c r="C169" s="9" t="s">
        <v>51</v>
      </c>
      <c r="D169" s="9" t="s">
        <v>51</v>
      </c>
      <c r="E169" s="9" t="s">
        <v>902</v>
      </c>
      <c r="F169" s="9"/>
      <c r="G169" s="9" t="s">
        <v>104</v>
      </c>
      <c r="H169" s="9" t="s">
        <v>97</v>
      </c>
      <c r="I169" s="9" t="s">
        <v>908</v>
      </c>
      <c r="J169" s="9" t="s">
        <v>909</v>
      </c>
      <c r="K169" s="9" t="s">
        <v>910</v>
      </c>
      <c r="L169" s="9"/>
      <c r="M169" s="9"/>
      <c r="N169" s="9"/>
      <c r="O169" s="11" t="s">
        <v>101</v>
      </c>
      <c r="P169" s="12">
        <v>25.58350089</v>
      </c>
      <c r="Q169" s="12">
        <v>-103.51408893999999</v>
      </c>
      <c r="R169" s="9" t="s">
        <v>911</v>
      </c>
      <c r="S169" s="13"/>
      <c r="T169" s="13"/>
      <c r="U169" s="13"/>
    </row>
    <row r="170" spans="1:21" x14ac:dyDescent="0.3">
      <c r="A170" s="9">
        <v>169</v>
      </c>
      <c r="B170" s="9" t="s">
        <v>38</v>
      </c>
      <c r="C170" s="9" t="s">
        <v>51</v>
      </c>
      <c r="D170" s="9" t="s">
        <v>51</v>
      </c>
      <c r="E170" s="9" t="s">
        <v>912</v>
      </c>
      <c r="F170" s="9"/>
      <c r="G170" s="9" t="s">
        <v>104</v>
      </c>
      <c r="H170" s="9" t="s">
        <v>97</v>
      </c>
      <c r="I170" s="9" t="s">
        <v>913</v>
      </c>
      <c r="J170" s="9" t="s">
        <v>914</v>
      </c>
      <c r="K170" s="9" t="s">
        <v>915</v>
      </c>
      <c r="L170" s="9" t="s">
        <v>916</v>
      </c>
      <c r="M170" s="9"/>
      <c r="N170" s="9"/>
      <c r="O170" s="11" t="s">
        <v>101</v>
      </c>
      <c r="P170" s="12">
        <v>25.594453990000002</v>
      </c>
      <c r="Q170" s="12">
        <v>-103.49738316</v>
      </c>
      <c r="R170" s="9" t="s">
        <v>917</v>
      </c>
      <c r="S170" s="13"/>
      <c r="T170" s="13"/>
      <c r="U170" s="13"/>
    </row>
    <row r="171" spans="1:21" x14ac:dyDescent="0.3">
      <c r="A171" s="9">
        <v>170</v>
      </c>
      <c r="B171" s="9" t="s">
        <v>38</v>
      </c>
      <c r="C171" s="9" t="s">
        <v>51</v>
      </c>
      <c r="D171" s="9" t="s">
        <v>51</v>
      </c>
      <c r="E171" s="9" t="s">
        <v>918</v>
      </c>
      <c r="F171" s="9"/>
      <c r="G171" s="9" t="s">
        <v>104</v>
      </c>
      <c r="H171" s="9" t="s">
        <v>97</v>
      </c>
      <c r="I171" s="9" t="s">
        <v>919</v>
      </c>
      <c r="J171" s="9" t="s">
        <v>239</v>
      </c>
      <c r="K171" s="9" t="s">
        <v>856</v>
      </c>
      <c r="L171" s="9"/>
      <c r="M171" s="9"/>
      <c r="N171" s="9"/>
      <c r="O171" s="11" t="s">
        <v>101</v>
      </c>
      <c r="P171" s="12">
        <v>25.563160929999999</v>
      </c>
      <c r="Q171" s="12">
        <v>-103.50268459</v>
      </c>
      <c r="R171" s="9" t="s">
        <v>920</v>
      </c>
      <c r="S171" s="13"/>
      <c r="T171" s="13"/>
      <c r="U171" s="13"/>
    </row>
    <row r="172" spans="1:21" x14ac:dyDescent="0.3">
      <c r="A172" s="9">
        <v>171</v>
      </c>
      <c r="B172" s="9" t="s">
        <v>38</v>
      </c>
      <c r="C172" s="9" t="s">
        <v>51</v>
      </c>
      <c r="D172" s="9" t="s">
        <v>51</v>
      </c>
      <c r="E172" s="9" t="s">
        <v>921</v>
      </c>
      <c r="F172" s="9" t="s">
        <v>922</v>
      </c>
      <c r="G172" s="9" t="s">
        <v>104</v>
      </c>
      <c r="H172" s="9" t="s">
        <v>97</v>
      </c>
      <c r="I172" s="9" t="s">
        <v>923</v>
      </c>
      <c r="J172" s="9" t="s">
        <v>924</v>
      </c>
      <c r="K172" s="9" t="s">
        <v>925</v>
      </c>
      <c r="L172" s="9" t="s">
        <v>926</v>
      </c>
      <c r="M172" s="9"/>
      <c r="N172" s="9"/>
      <c r="O172" s="11" t="s">
        <v>101</v>
      </c>
      <c r="P172" s="12">
        <v>25.566990730000001</v>
      </c>
      <c r="Q172" s="12">
        <v>-103.47384415000001</v>
      </c>
      <c r="R172" s="9" t="s">
        <v>927</v>
      </c>
      <c r="S172" s="13"/>
      <c r="T172" s="13"/>
      <c r="U172" s="13"/>
    </row>
    <row r="173" spans="1:21" x14ac:dyDescent="0.3">
      <c r="A173" s="9">
        <v>172</v>
      </c>
      <c r="B173" s="9" t="s">
        <v>38</v>
      </c>
      <c r="C173" s="9" t="s">
        <v>51</v>
      </c>
      <c r="D173" s="9" t="s">
        <v>51</v>
      </c>
      <c r="E173" s="9" t="s">
        <v>928</v>
      </c>
      <c r="F173" s="9"/>
      <c r="G173" s="9" t="s">
        <v>104</v>
      </c>
      <c r="H173" s="9" t="s">
        <v>97</v>
      </c>
      <c r="I173" s="9" t="s">
        <v>929</v>
      </c>
      <c r="J173" s="9" t="s">
        <v>930</v>
      </c>
      <c r="K173" s="9" t="s">
        <v>931</v>
      </c>
      <c r="L173" s="9"/>
      <c r="M173" s="9"/>
      <c r="N173" s="9"/>
      <c r="O173" s="11" t="s">
        <v>101</v>
      </c>
      <c r="P173" s="12">
        <v>25.58681412</v>
      </c>
      <c r="Q173" s="12">
        <v>-103.47699614</v>
      </c>
      <c r="R173" s="9" t="s">
        <v>932</v>
      </c>
      <c r="S173" s="13"/>
      <c r="T173" s="13"/>
      <c r="U173" s="13"/>
    </row>
    <row r="174" spans="1:21" x14ac:dyDescent="0.3">
      <c r="A174" s="9">
        <v>173</v>
      </c>
      <c r="B174" s="9" t="s">
        <v>38</v>
      </c>
      <c r="C174" s="9" t="s">
        <v>51</v>
      </c>
      <c r="D174" s="9" t="s">
        <v>51</v>
      </c>
      <c r="E174" s="9" t="s">
        <v>933</v>
      </c>
      <c r="F174" s="9"/>
      <c r="G174" s="9" t="s">
        <v>96</v>
      </c>
      <c r="H174" s="9" t="s">
        <v>97</v>
      </c>
      <c r="I174" s="9" t="s">
        <v>934</v>
      </c>
      <c r="J174" s="9" t="s">
        <v>935</v>
      </c>
      <c r="K174" s="9" t="s">
        <v>936</v>
      </c>
      <c r="L174" s="9"/>
      <c r="M174" s="9"/>
      <c r="N174" s="9"/>
      <c r="O174" s="11" t="s">
        <v>101</v>
      </c>
      <c r="P174" s="12">
        <v>25.569635330000001</v>
      </c>
      <c r="Q174" s="12">
        <v>-103.49310183999999</v>
      </c>
      <c r="R174" s="9" t="s">
        <v>937</v>
      </c>
      <c r="S174" s="13"/>
      <c r="T174" s="13"/>
      <c r="U174" s="13"/>
    </row>
    <row r="175" spans="1:21" x14ac:dyDescent="0.3">
      <c r="A175" s="9">
        <v>174</v>
      </c>
      <c r="B175" s="9" t="s">
        <v>38</v>
      </c>
      <c r="C175" s="9" t="s">
        <v>51</v>
      </c>
      <c r="D175" s="9" t="s">
        <v>51</v>
      </c>
      <c r="E175" s="9" t="s">
        <v>938</v>
      </c>
      <c r="F175" s="9"/>
      <c r="G175" s="9" t="s">
        <v>104</v>
      </c>
      <c r="H175" s="9" t="s">
        <v>97</v>
      </c>
      <c r="I175" s="9" t="s">
        <v>939</v>
      </c>
      <c r="J175" s="9" t="s">
        <v>239</v>
      </c>
      <c r="K175" s="9" t="s">
        <v>856</v>
      </c>
      <c r="L175" s="9"/>
      <c r="M175" s="9"/>
      <c r="N175" s="9"/>
      <c r="O175" s="11" t="s">
        <v>101</v>
      </c>
      <c r="P175" s="12">
        <v>25.56619053</v>
      </c>
      <c r="Q175" s="12">
        <v>-103.49936328</v>
      </c>
      <c r="R175" s="9" t="s">
        <v>940</v>
      </c>
      <c r="S175" s="13"/>
      <c r="T175" s="13"/>
      <c r="U175" s="13"/>
    </row>
    <row r="176" spans="1:21" x14ac:dyDescent="0.3">
      <c r="A176" s="9">
        <v>175</v>
      </c>
      <c r="B176" s="9" t="s">
        <v>38</v>
      </c>
      <c r="C176" s="9" t="s">
        <v>51</v>
      </c>
      <c r="D176" s="9" t="s">
        <v>51</v>
      </c>
      <c r="E176" s="9" t="s">
        <v>941</v>
      </c>
      <c r="F176" s="9"/>
      <c r="G176" s="9" t="s">
        <v>104</v>
      </c>
      <c r="H176" s="9" t="s">
        <v>97</v>
      </c>
      <c r="I176" s="9" t="s">
        <v>942</v>
      </c>
      <c r="J176" s="9" t="s">
        <v>943</v>
      </c>
      <c r="K176" s="9" t="s">
        <v>851</v>
      </c>
      <c r="L176" s="9" t="s">
        <v>944</v>
      </c>
      <c r="M176" s="9"/>
      <c r="N176" s="9"/>
      <c r="O176" s="11" t="s">
        <v>101</v>
      </c>
      <c r="P176" s="12">
        <v>25.592178759999999</v>
      </c>
      <c r="Q176" s="12">
        <v>-103.49630626</v>
      </c>
      <c r="R176" s="9" t="s">
        <v>945</v>
      </c>
      <c r="S176" s="13"/>
      <c r="T176" s="13"/>
      <c r="U176" s="13"/>
    </row>
    <row r="177" spans="1:21" x14ac:dyDescent="0.3">
      <c r="A177" s="9">
        <v>176</v>
      </c>
      <c r="B177" s="9" t="s">
        <v>38</v>
      </c>
      <c r="C177" s="9" t="s">
        <v>51</v>
      </c>
      <c r="D177" s="9" t="s">
        <v>51</v>
      </c>
      <c r="E177" s="9" t="s">
        <v>549</v>
      </c>
      <c r="F177" s="9"/>
      <c r="G177" s="9" t="s">
        <v>104</v>
      </c>
      <c r="H177" s="9" t="s">
        <v>97</v>
      </c>
      <c r="I177" s="9" t="s">
        <v>946</v>
      </c>
      <c r="J177" s="9" t="s">
        <v>947</v>
      </c>
      <c r="K177" s="9" t="s">
        <v>898</v>
      </c>
      <c r="L177" s="9" t="s">
        <v>948</v>
      </c>
      <c r="M177" s="9"/>
      <c r="N177" s="9"/>
      <c r="O177" s="11" t="s">
        <v>101</v>
      </c>
      <c r="P177" s="12">
        <v>25.585083019999999</v>
      </c>
      <c r="Q177" s="12">
        <v>-103.49171585000001</v>
      </c>
      <c r="R177" s="9" t="s">
        <v>949</v>
      </c>
      <c r="S177" s="13"/>
      <c r="T177" s="13"/>
      <c r="U177" s="13"/>
    </row>
    <row r="178" spans="1:21" x14ac:dyDescent="0.3">
      <c r="A178" s="9">
        <v>177</v>
      </c>
      <c r="B178" s="9" t="s">
        <v>38</v>
      </c>
      <c r="C178" s="9" t="s">
        <v>51</v>
      </c>
      <c r="D178" s="9" t="s">
        <v>51</v>
      </c>
      <c r="E178" s="9" t="s">
        <v>549</v>
      </c>
      <c r="F178" s="9"/>
      <c r="G178" s="9" t="s">
        <v>104</v>
      </c>
      <c r="H178" s="9" t="s">
        <v>97</v>
      </c>
      <c r="I178" s="9" t="s">
        <v>950</v>
      </c>
      <c r="J178" s="9" t="s">
        <v>850</v>
      </c>
      <c r="K178" s="9" t="s">
        <v>851</v>
      </c>
      <c r="L178" s="9"/>
      <c r="M178" s="9"/>
      <c r="N178" s="9"/>
      <c r="O178" s="11" t="s">
        <v>101</v>
      </c>
      <c r="P178" s="12">
        <v>25.596481319999999</v>
      </c>
      <c r="Q178" s="12">
        <v>-103.49429044</v>
      </c>
      <c r="R178" s="9" t="s">
        <v>951</v>
      </c>
      <c r="S178" s="13"/>
      <c r="T178" s="13"/>
      <c r="U178" s="13"/>
    </row>
    <row r="179" spans="1:21" x14ac:dyDescent="0.3">
      <c r="A179" s="9">
        <v>178</v>
      </c>
      <c r="B179" s="9" t="s">
        <v>38</v>
      </c>
      <c r="C179" s="9" t="s">
        <v>51</v>
      </c>
      <c r="D179" s="9" t="s">
        <v>51</v>
      </c>
      <c r="E179" s="9" t="s">
        <v>952</v>
      </c>
      <c r="F179" s="9"/>
      <c r="G179" s="9" t="s">
        <v>104</v>
      </c>
      <c r="H179" s="9" t="s">
        <v>97</v>
      </c>
      <c r="I179" s="9" t="s">
        <v>953</v>
      </c>
      <c r="J179" s="9" t="s">
        <v>886</v>
      </c>
      <c r="K179" s="9" t="s">
        <v>856</v>
      </c>
      <c r="L179" s="9" t="s">
        <v>954</v>
      </c>
      <c r="M179" s="9"/>
      <c r="N179" s="9"/>
      <c r="O179" s="11" t="s">
        <v>101</v>
      </c>
      <c r="P179" s="12">
        <v>25.560926779999999</v>
      </c>
      <c r="Q179" s="12">
        <v>-103.50580745000001</v>
      </c>
      <c r="R179" s="9" t="s">
        <v>955</v>
      </c>
      <c r="S179" s="13"/>
      <c r="T179" s="13"/>
      <c r="U179" s="13"/>
    </row>
    <row r="180" spans="1:21" x14ac:dyDescent="0.3">
      <c r="A180" s="9">
        <v>179</v>
      </c>
      <c r="B180" s="9" t="s">
        <v>38</v>
      </c>
      <c r="C180" s="9" t="s">
        <v>51</v>
      </c>
      <c r="D180" s="9" t="s">
        <v>51</v>
      </c>
      <c r="E180" s="9" t="s">
        <v>956</v>
      </c>
      <c r="F180" s="9"/>
      <c r="G180" s="9" t="s">
        <v>96</v>
      </c>
      <c r="H180" s="9" t="s">
        <v>97</v>
      </c>
      <c r="I180" s="9" t="s">
        <v>957</v>
      </c>
      <c r="J180" s="9" t="s">
        <v>958</v>
      </c>
      <c r="K180" s="9" t="s">
        <v>931</v>
      </c>
      <c r="L180" s="9"/>
      <c r="M180" s="9"/>
      <c r="N180" s="9"/>
      <c r="O180" s="11" t="s">
        <v>101</v>
      </c>
      <c r="P180" s="12">
        <v>25.578123099999999</v>
      </c>
      <c r="Q180" s="12">
        <v>-103.47053184000001</v>
      </c>
      <c r="R180" s="9" t="s">
        <v>959</v>
      </c>
      <c r="S180" s="13"/>
      <c r="T180" s="13"/>
      <c r="U180" s="13"/>
    </row>
    <row r="181" spans="1:21" x14ac:dyDescent="0.3">
      <c r="A181" s="9">
        <v>180</v>
      </c>
      <c r="B181" s="9" t="s">
        <v>38</v>
      </c>
      <c r="C181" s="9" t="s">
        <v>51</v>
      </c>
      <c r="D181" s="9" t="s">
        <v>51</v>
      </c>
      <c r="E181" s="9" t="s">
        <v>960</v>
      </c>
      <c r="F181" s="9"/>
      <c r="G181" s="9" t="s">
        <v>104</v>
      </c>
      <c r="H181" s="9" t="s">
        <v>438</v>
      </c>
      <c r="I181" s="9" t="s">
        <v>961</v>
      </c>
      <c r="J181" s="9" t="s">
        <v>962</v>
      </c>
      <c r="K181" s="9" t="s">
        <v>963</v>
      </c>
      <c r="L181" s="9" t="s">
        <v>964</v>
      </c>
      <c r="M181" s="9"/>
      <c r="N181" s="9"/>
      <c r="O181" s="11" t="s">
        <v>101</v>
      </c>
      <c r="P181" s="12">
        <v>25.567819910000001</v>
      </c>
      <c r="Q181" s="12">
        <v>-103.46732279</v>
      </c>
      <c r="R181" s="9" t="s">
        <v>965</v>
      </c>
      <c r="S181" s="13"/>
      <c r="T181" s="13"/>
      <c r="U181" s="13"/>
    </row>
    <row r="182" spans="1:21" x14ac:dyDescent="0.3">
      <c r="A182" s="9">
        <v>181</v>
      </c>
      <c r="B182" s="9" t="s">
        <v>38</v>
      </c>
      <c r="C182" s="9" t="s">
        <v>51</v>
      </c>
      <c r="D182" s="9" t="s">
        <v>51</v>
      </c>
      <c r="E182" s="9" t="s">
        <v>966</v>
      </c>
      <c r="F182" s="9" t="s">
        <v>966</v>
      </c>
      <c r="G182" s="9" t="s">
        <v>104</v>
      </c>
      <c r="H182" s="9" t="s">
        <v>967</v>
      </c>
      <c r="I182" s="9" t="s">
        <v>968</v>
      </c>
      <c r="J182" s="9" t="s">
        <v>962</v>
      </c>
      <c r="K182" s="9" t="s">
        <v>963</v>
      </c>
      <c r="L182" s="9"/>
      <c r="M182" s="9" t="s">
        <v>969</v>
      </c>
      <c r="N182" s="9"/>
      <c r="O182" s="11" t="s">
        <v>101</v>
      </c>
      <c r="P182" s="12">
        <v>25.552529109999998</v>
      </c>
      <c r="Q182" s="12">
        <v>-103.46531396</v>
      </c>
      <c r="R182" s="9" t="s">
        <v>970</v>
      </c>
      <c r="S182" s="13"/>
      <c r="T182" s="13"/>
      <c r="U182" s="13"/>
    </row>
    <row r="183" spans="1:21" x14ac:dyDescent="0.3">
      <c r="A183" s="9">
        <v>182</v>
      </c>
      <c r="B183" s="9" t="s">
        <v>38</v>
      </c>
      <c r="C183" s="9" t="s">
        <v>51</v>
      </c>
      <c r="D183" s="9" t="s">
        <v>51</v>
      </c>
      <c r="E183" s="9" t="s">
        <v>971</v>
      </c>
      <c r="F183" s="9"/>
      <c r="G183" s="9" t="s">
        <v>96</v>
      </c>
      <c r="H183" s="9" t="s">
        <v>97</v>
      </c>
      <c r="I183" s="9" t="s">
        <v>972</v>
      </c>
      <c r="J183" s="9" t="s">
        <v>973</v>
      </c>
      <c r="K183" s="9" t="s">
        <v>974</v>
      </c>
      <c r="L183" s="9" t="s">
        <v>975</v>
      </c>
      <c r="M183" s="9"/>
      <c r="N183" s="9"/>
      <c r="O183" s="11" t="s">
        <v>101</v>
      </c>
      <c r="P183" s="12">
        <v>25.570348379999999</v>
      </c>
      <c r="Q183" s="12">
        <v>-103.48631721</v>
      </c>
      <c r="R183" s="9" t="s">
        <v>976</v>
      </c>
      <c r="S183" s="13"/>
      <c r="T183" s="13"/>
      <c r="U183" s="13"/>
    </row>
    <row r="184" spans="1:21" x14ac:dyDescent="0.3">
      <c r="A184" s="9">
        <v>183</v>
      </c>
      <c r="B184" s="9" t="s">
        <v>38</v>
      </c>
      <c r="C184" s="9" t="s">
        <v>51</v>
      </c>
      <c r="D184" s="9" t="s">
        <v>51</v>
      </c>
      <c r="E184" s="9" t="s">
        <v>977</v>
      </c>
      <c r="F184" s="9"/>
      <c r="G184" s="9" t="s">
        <v>104</v>
      </c>
      <c r="H184" s="9" t="s">
        <v>97</v>
      </c>
      <c r="I184" s="9" t="s">
        <v>978</v>
      </c>
      <c r="J184" s="9" t="s">
        <v>947</v>
      </c>
      <c r="K184" s="9" t="s">
        <v>898</v>
      </c>
      <c r="L184" s="9" t="s">
        <v>979</v>
      </c>
      <c r="M184" s="9" t="s">
        <v>980</v>
      </c>
      <c r="N184" s="9"/>
      <c r="O184" s="11" t="s">
        <v>101</v>
      </c>
      <c r="P184" s="12">
        <v>25.58486027</v>
      </c>
      <c r="Q184" s="12">
        <v>-103.49390819</v>
      </c>
      <c r="R184" s="9" t="s">
        <v>981</v>
      </c>
      <c r="S184" s="13"/>
      <c r="T184" s="13"/>
      <c r="U184" s="13"/>
    </row>
    <row r="185" spans="1:21" x14ac:dyDescent="0.3">
      <c r="A185" s="9">
        <v>184</v>
      </c>
      <c r="B185" s="9" t="s">
        <v>38</v>
      </c>
      <c r="C185" s="9" t="s">
        <v>51</v>
      </c>
      <c r="D185" s="9" t="s">
        <v>51</v>
      </c>
      <c r="E185" s="9" t="s">
        <v>982</v>
      </c>
      <c r="F185" s="9"/>
      <c r="G185" s="9" t="s">
        <v>96</v>
      </c>
      <c r="H185" s="9" t="s">
        <v>97</v>
      </c>
      <c r="I185" s="9" t="s">
        <v>983</v>
      </c>
      <c r="J185" s="9" t="s">
        <v>947</v>
      </c>
      <c r="K185" s="9" t="s">
        <v>898</v>
      </c>
      <c r="L185" s="9"/>
      <c r="M185" s="9"/>
      <c r="N185" s="9"/>
      <c r="O185" s="11" t="s">
        <v>101</v>
      </c>
      <c r="P185" s="12">
        <v>25.583029700000001</v>
      </c>
      <c r="Q185" s="12">
        <v>-103.49452755999999</v>
      </c>
      <c r="R185" s="9" t="s">
        <v>984</v>
      </c>
      <c r="S185" s="13"/>
      <c r="T185" s="13"/>
      <c r="U185" s="13"/>
    </row>
    <row r="186" spans="1:21" x14ac:dyDescent="0.3">
      <c r="A186" s="9">
        <v>185</v>
      </c>
      <c r="B186" s="9" t="s">
        <v>38</v>
      </c>
      <c r="C186" s="9" t="s">
        <v>51</v>
      </c>
      <c r="D186" s="9" t="s">
        <v>51</v>
      </c>
      <c r="E186" s="9" t="s">
        <v>985</v>
      </c>
      <c r="F186" s="9"/>
      <c r="G186" s="9" t="s">
        <v>116</v>
      </c>
      <c r="H186" s="9" t="s">
        <v>97</v>
      </c>
      <c r="I186" s="9" t="s">
        <v>986</v>
      </c>
      <c r="J186" s="9" t="s">
        <v>987</v>
      </c>
      <c r="K186" s="9" t="s">
        <v>846</v>
      </c>
      <c r="L186" s="9"/>
      <c r="M186" s="9"/>
      <c r="N186" s="9"/>
      <c r="O186" s="11" t="s">
        <v>101</v>
      </c>
      <c r="P186" s="12">
        <v>25.56113762</v>
      </c>
      <c r="Q186" s="12">
        <v>-103.50725744</v>
      </c>
      <c r="R186" s="9" t="s">
        <v>988</v>
      </c>
      <c r="S186" s="13"/>
      <c r="T186" s="13"/>
      <c r="U186" s="13"/>
    </row>
    <row r="187" spans="1:21" x14ac:dyDescent="0.3">
      <c r="A187" s="9">
        <v>186</v>
      </c>
      <c r="B187" s="9" t="s">
        <v>38</v>
      </c>
      <c r="C187" s="9" t="s">
        <v>51</v>
      </c>
      <c r="D187" s="9" t="s">
        <v>51</v>
      </c>
      <c r="E187" s="9" t="s">
        <v>989</v>
      </c>
      <c r="F187" s="9"/>
      <c r="G187" s="9" t="s">
        <v>116</v>
      </c>
      <c r="H187" s="9" t="s">
        <v>97</v>
      </c>
      <c r="I187" s="9" t="s">
        <v>990</v>
      </c>
      <c r="J187" s="9" t="s">
        <v>947</v>
      </c>
      <c r="K187" s="9" t="s">
        <v>898</v>
      </c>
      <c r="L187" s="9" t="s">
        <v>991</v>
      </c>
      <c r="M187" s="9"/>
      <c r="N187" s="9"/>
      <c r="O187" s="11" t="s">
        <v>101</v>
      </c>
      <c r="P187" s="12">
        <v>25.585775590000001</v>
      </c>
      <c r="Q187" s="12">
        <v>-103.49129370999999</v>
      </c>
      <c r="R187" s="9" t="s">
        <v>992</v>
      </c>
      <c r="S187" s="13"/>
      <c r="T187" s="13"/>
      <c r="U187" s="13"/>
    </row>
    <row r="188" spans="1:21" x14ac:dyDescent="0.3">
      <c r="A188" s="9">
        <v>187</v>
      </c>
      <c r="B188" s="9" t="s">
        <v>38</v>
      </c>
      <c r="C188" s="9" t="s">
        <v>51</v>
      </c>
      <c r="D188" s="9" t="s">
        <v>51</v>
      </c>
      <c r="E188" s="9" t="s">
        <v>993</v>
      </c>
      <c r="F188" s="9"/>
      <c r="G188" s="9" t="s">
        <v>569</v>
      </c>
      <c r="H188" s="9" t="s">
        <v>97</v>
      </c>
      <c r="I188" s="9" t="s">
        <v>994</v>
      </c>
      <c r="J188" s="9" t="s">
        <v>995</v>
      </c>
      <c r="K188" s="9" t="s">
        <v>996</v>
      </c>
      <c r="L188" s="9" t="s">
        <v>997</v>
      </c>
      <c r="M188" s="9"/>
      <c r="N188" s="9"/>
      <c r="O188" s="11" t="s">
        <v>101</v>
      </c>
      <c r="P188" s="12">
        <v>25.554403440000002</v>
      </c>
      <c r="Q188" s="12">
        <v>-103.49952406</v>
      </c>
      <c r="R188" s="9" t="s">
        <v>998</v>
      </c>
      <c r="S188" s="13"/>
      <c r="T188" s="13"/>
      <c r="U188" s="13"/>
    </row>
    <row r="189" spans="1:21" x14ac:dyDescent="0.3">
      <c r="A189" s="9">
        <v>188</v>
      </c>
      <c r="B189" s="9" t="s">
        <v>38</v>
      </c>
      <c r="C189" s="9" t="s">
        <v>51</v>
      </c>
      <c r="D189" s="9" t="s">
        <v>51</v>
      </c>
      <c r="E189" s="9" t="s">
        <v>999</v>
      </c>
      <c r="F189" s="9"/>
      <c r="G189" s="9" t="s">
        <v>104</v>
      </c>
      <c r="H189" s="9" t="s">
        <v>97</v>
      </c>
      <c r="I189" s="9" t="s">
        <v>1000</v>
      </c>
      <c r="J189" s="9" t="s">
        <v>1001</v>
      </c>
      <c r="K189" s="9" t="s">
        <v>910</v>
      </c>
      <c r="L189" s="9" t="s">
        <v>1002</v>
      </c>
      <c r="M189" s="9"/>
      <c r="N189" s="9"/>
      <c r="O189" s="11" t="s">
        <v>101</v>
      </c>
      <c r="P189" s="12">
        <v>25.573748049999999</v>
      </c>
      <c r="Q189" s="12">
        <v>-103.50721915</v>
      </c>
      <c r="R189" s="9" t="s">
        <v>1003</v>
      </c>
      <c r="S189" s="13"/>
      <c r="T189" s="13"/>
      <c r="U189" s="13"/>
    </row>
    <row r="190" spans="1:21" x14ac:dyDescent="0.3">
      <c r="A190" s="9">
        <v>189</v>
      </c>
      <c r="B190" s="9" t="s">
        <v>38</v>
      </c>
      <c r="C190" s="9" t="s">
        <v>51</v>
      </c>
      <c r="D190" s="9" t="s">
        <v>51</v>
      </c>
      <c r="E190" s="9" t="s">
        <v>1004</v>
      </c>
      <c r="F190" s="9"/>
      <c r="G190" s="9" t="s">
        <v>790</v>
      </c>
      <c r="H190" s="9" t="s">
        <v>97</v>
      </c>
      <c r="I190" s="9" t="s">
        <v>1005</v>
      </c>
      <c r="J190" s="9" t="s">
        <v>239</v>
      </c>
      <c r="K190" s="9" t="s">
        <v>856</v>
      </c>
      <c r="L190" s="9"/>
      <c r="M190" s="9"/>
      <c r="N190" s="9"/>
      <c r="O190" s="11" t="s">
        <v>101</v>
      </c>
      <c r="P190" s="12">
        <v>25.555557749999998</v>
      </c>
      <c r="Q190" s="12">
        <v>-103.50402759000001</v>
      </c>
      <c r="R190" s="9" t="s">
        <v>1006</v>
      </c>
      <c r="S190" s="13"/>
      <c r="T190" s="13"/>
      <c r="U190" s="13"/>
    </row>
    <row r="191" spans="1:21" x14ac:dyDescent="0.3">
      <c r="A191" s="9">
        <v>190</v>
      </c>
      <c r="B191" s="9" t="s">
        <v>38</v>
      </c>
      <c r="C191" s="9" t="s">
        <v>51</v>
      </c>
      <c r="D191" s="9" t="s">
        <v>51</v>
      </c>
      <c r="E191" s="9" t="s">
        <v>1004</v>
      </c>
      <c r="F191" s="9"/>
      <c r="G191" s="9" t="s">
        <v>790</v>
      </c>
      <c r="H191" s="9" t="s">
        <v>97</v>
      </c>
      <c r="I191" s="9" t="s">
        <v>1007</v>
      </c>
      <c r="J191" s="9" t="s">
        <v>239</v>
      </c>
      <c r="K191" s="9" t="s">
        <v>856</v>
      </c>
      <c r="L191" s="9"/>
      <c r="M191" s="9"/>
      <c r="N191" s="9"/>
      <c r="O191" s="11" t="s">
        <v>101</v>
      </c>
      <c r="P191" s="12">
        <v>25.559399800000001</v>
      </c>
      <c r="Q191" s="12">
        <v>-103.4976415</v>
      </c>
      <c r="R191" s="9" t="s">
        <v>1008</v>
      </c>
      <c r="S191" s="13"/>
      <c r="T191" s="13"/>
      <c r="U191" s="13"/>
    </row>
    <row r="192" spans="1:21" x14ac:dyDescent="0.3">
      <c r="A192" s="9">
        <v>191</v>
      </c>
      <c r="B192" s="9" t="s">
        <v>38</v>
      </c>
      <c r="C192" s="9" t="s">
        <v>51</v>
      </c>
      <c r="D192" s="9" t="s">
        <v>51</v>
      </c>
      <c r="E192" s="9" t="s">
        <v>1009</v>
      </c>
      <c r="F192" s="9"/>
      <c r="G192" s="9" t="s">
        <v>790</v>
      </c>
      <c r="H192" s="9" t="s">
        <v>438</v>
      </c>
      <c r="I192" s="9" t="s">
        <v>1010</v>
      </c>
      <c r="J192" s="9" t="s">
        <v>882</v>
      </c>
      <c r="K192" s="9" t="s">
        <v>883</v>
      </c>
      <c r="L192" s="9" t="s">
        <v>1011</v>
      </c>
      <c r="M192" s="9"/>
      <c r="N192" s="9"/>
      <c r="O192" s="11" t="s">
        <v>101</v>
      </c>
      <c r="P192" s="12">
        <v>25.552948650000001</v>
      </c>
      <c r="Q192" s="12">
        <v>-103.49057675</v>
      </c>
      <c r="R192" s="9" t="s">
        <v>1012</v>
      </c>
      <c r="S192" s="13"/>
      <c r="T192" s="13"/>
      <c r="U192" s="13"/>
    </row>
    <row r="193" spans="1:21" x14ac:dyDescent="0.3">
      <c r="A193" s="9">
        <v>192</v>
      </c>
      <c r="B193" s="9" t="s">
        <v>38</v>
      </c>
      <c r="C193" s="9" t="s">
        <v>51</v>
      </c>
      <c r="D193" s="9" t="s">
        <v>51</v>
      </c>
      <c r="E193" s="9" t="s">
        <v>1013</v>
      </c>
      <c r="F193" s="9"/>
      <c r="G193" s="9" t="s">
        <v>790</v>
      </c>
      <c r="H193" s="9" t="s">
        <v>97</v>
      </c>
      <c r="I193" s="9" t="s">
        <v>1014</v>
      </c>
      <c r="J193" s="9" t="s">
        <v>239</v>
      </c>
      <c r="K193" s="9" t="s">
        <v>856</v>
      </c>
      <c r="L193" s="9"/>
      <c r="M193" s="9"/>
      <c r="N193" s="9"/>
      <c r="O193" s="11" t="s">
        <v>101</v>
      </c>
      <c r="P193" s="12">
        <v>25.56910156</v>
      </c>
      <c r="Q193" s="12">
        <v>-103.49882212999999</v>
      </c>
      <c r="R193" s="9" t="s">
        <v>1015</v>
      </c>
      <c r="S193" s="13"/>
      <c r="T193" s="13"/>
      <c r="U193" s="13"/>
    </row>
    <row r="194" spans="1:21" x14ac:dyDescent="0.3">
      <c r="A194" s="9">
        <v>193</v>
      </c>
      <c r="B194" s="9" t="s">
        <v>38</v>
      </c>
      <c r="C194" s="9" t="s">
        <v>51</v>
      </c>
      <c r="D194" s="9" t="s">
        <v>51</v>
      </c>
      <c r="E194" s="9" t="s">
        <v>801</v>
      </c>
      <c r="F194" s="9" t="s">
        <v>1016</v>
      </c>
      <c r="G194" s="9" t="s">
        <v>790</v>
      </c>
      <c r="H194" s="9" t="s">
        <v>438</v>
      </c>
      <c r="I194" s="9" t="s">
        <v>1017</v>
      </c>
      <c r="J194" s="9" t="s">
        <v>882</v>
      </c>
      <c r="K194" s="9" t="s">
        <v>883</v>
      </c>
      <c r="L194" s="9"/>
      <c r="M194" s="9" t="s">
        <v>1018</v>
      </c>
      <c r="N194" s="9"/>
      <c r="O194" s="11" t="s">
        <v>101</v>
      </c>
      <c r="P194" s="12">
        <v>25.552019619999999</v>
      </c>
      <c r="Q194" s="12">
        <v>-103.48924369</v>
      </c>
      <c r="R194" s="9" t="s">
        <v>1019</v>
      </c>
      <c r="S194" s="13"/>
      <c r="T194" s="13"/>
      <c r="U194" s="13"/>
    </row>
    <row r="195" spans="1:21" x14ac:dyDescent="0.3">
      <c r="A195" s="9">
        <v>194</v>
      </c>
      <c r="B195" s="9" t="s">
        <v>38</v>
      </c>
      <c r="C195" s="9" t="s">
        <v>52</v>
      </c>
      <c r="D195" s="9" t="s">
        <v>52</v>
      </c>
      <c r="E195" s="9" t="s">
        <v>1020</v>
      </c>
      <c r="F195" s="9"/>
      <c r="G195" s="9" t="s">
        <v>104</v>
      </c>
      <c r="H195" s="9" t="s">
        <v>97</v>
      </c>
      <c r="I195" s="9" t="s">
        <v>1021</v>
      </c>
      <c r="J195" s="9" t="s">
        <v>1022</v>
      </c>
      <c r="K195" s="9" t="s">
        <v>1023</v>
      </c>
      <c r="L195" s="9" t="s">
        <v>1024</v>
      </c>
      <c r="M195" s="9"/>
      <c r="N195" s="9"/>
      <c r="O195" s="11" t="s">
        <v>101</v>
      </c>
      <c r="P195" s="12">
        <v>25.547557780000002</v>
      </c>
      <c r="Q195" s="12">
        <v>-103.55248003</v>
      </c>
      <c r="R195" s="9" t="s">
        <v>1025</v>
      </c>
      <c r="S195" s="13"/>
      <c r="T195" s="13"/>
      <c r="U195" s="13"/>
    </row>
    <row r="196" spans="1:21" x14ac:dyDescent="0.3">
      <c r="A196" s="9">
        <v>195</v>
      </c>
      <c r="B196" s="9" t="s">
        <v>38</v>
      </c>
      <c r="C196" s="9" t="s">
        <v>52</v>
      </c>
      <c r="D196" s="9" t="s">
        <v>52</v>
      </c>
      <c r="E196" s="9" t="s">
        <v>1026</v>
      </c>
      <c r="F196" s="9"/>
      <c r="G196" s="9" t="s">
        <v>104</v>
      </c>
      <c r="H196" s="9" t="s">
        <v>97</v>
      </c>
      <c r="I196" s="9" t="s">
        <v>1027</v>
      </c>
      <c r="J196" s="9" t="s">
        <v>1028</v>
      </c>
      <c r="K196" s="9" t="s">
        <v>1029</v>
      </c>
      <c r="L196" s="9" t="s">
        <v>1030</v>
      </c>
      <c r="M196" s="9"/>
      <c r="N196" s="9"/>
      <c r="O196" s="11" t="s">
        <v>101</v>
      </c>
      <c r="P196" s="12">
        <v>25.54518728</v>
      </c>
      <c r="Q196" s="12">
        <v>-103.51301433</v>
      </c>
      <c r="R196" s="9" t="s">
        <v>1031</v>
      </c>
      <c r="S196" s="13"/>
      <c r="T196" s="13"/>
      <c r="U196" s="13"/>
    </row>
    <row r="197" spans="1:21" x14ac:dyDescent="0.3">
      <c r="A197" s="9">
        <v>196</v>
      </c>
      <c r="B197" s="9" t="s">
        <v>38</v>
      </c>
      <c r="C197" s="9" t="s">
        <v>52</v>
      </c>
      <c r="D197" s="9" t="s">
        <v>52</v>
      </c>
      <c r="E197" s="9" t="s">
        <v>340</v>
      </c>
      <c r="F197" s="9"/>
      <c r="G197" s="9" t="s">
        <v>104</v>
      </c>
      <c r="H197" s="9" t="s">
        <v>97</v>
      </c>
      <c r="I197" s="9" t="s">
        <v>1032</v>
      </c>
      <c r="J197" s="9" t="s">
        <v>1033</v>
      </c>
      <c r="K197" s="9" t="s">
        <v>1029</v>
      </c>
      <c r="L197" s="9" t="s">
        <v>1034</v>
      </c>
      <c r="M197" s="9"/>
      <c r="N197" s="9"/>
      <c r="O197" s="11" t="s">
        <v>101</v>
      </c>
      <c r="P197" s="12">
        <v>25.547524689999999</v>
      </c>
      <c r="Q197" s="12">
        <v>-103.51350933000001</v>
      </c>
      <c r="R197" s="9" t="s">
        <v>1035</v>
      </c>
      <c r="S197" s="13"/>
      <c r="T197" s="13"/>
      <c r="U197" s="13"/>
    </row>
    <row r="198" spans="1:21" x14ac:dyDescent="0.3">
      <c r="A198" s="9">
        <v>197</v>
      </c>
      <c r="B198" s="9" t="s">
        <v>38</v>
      </c>
      <c r="C198" s="9" t="s">
        <v>52</v>
      </c>
      <c r="D198" s="9" t="s">
        <v>52</v>
      </c>
      <c r="E198" s="9" t="s">
        <v>1036</v>
      </c>
      <c r="F198" s="9"/>
      <c r="G198" s="9" t="s">
        <v>104</v>
      </c>
      <c r="H198" s="9" t="s">
        <v>97</v>
      </c>
      <c r="I198" s="9" t="s">
        <v>1037</v>
      </c>
      <c r="J198" s="9" t="s">
        <v>1033</v>
      </c>
      <c r="K198" s="9" t="s">
        <v>1029</v>
      </c>
      <c r="L198" s="9"/>
      <c r="M198" s="9"/>
      <c r="N198" s="9"/>
      <c r="O198" s="11" t="s">
        <v>101</v>
      </c>
      <c r="P198" s="12">
        <v>25.54948899</v>
      </c>
      <c r="Q198" s="12">
        <v>-103.50255577999999</v>
      </c>
      <c r="R198" s="9" t="s">
        <v>1038</v>
      </c>
      <c r="S198" s="13"/>
      <c r="T198" s="13"/>
      <c r="U198" s="13"/>
    </row>
    <row r="199" spans="1:21" x14ac:dyDescent="0.3">
      <c r="A199" s="9">
        <v>198</v>
      </c>
      <c r="B199" s="9" t="s">
        <v>38</v>
      </c>
      <c r="C199" s="9" t="s">
        <v>52</v>
      </c>
      <c r="D199" s="9" t="s">
        <v>52</v>
      </c>
      <c r="E199" s="9" t="s">
        <v>1039</v>
      </c>
      <c r="F199" s="9"/>
      <c r="G199" s="9" t="s">
        <v>104</v>
      </c>
      <c r="H199" s="9" t="s">
        <v>97</v>
      </c>
      <c r="I199" s="9" t="s">
        <v>1040</v>
      </c>
      <c r="J199" s="9" t="s">
        <v>1041</v>
      </c>
      <c r="K199" s="9" t="s">
        <v>1042</v>
      </c>
      <c r="L199" s="9" t="s">
        <v>1043</v>
      </c>
      <c r="M199" s="9"/>
      <c r="N199" s="9"/>
      <c r="O199" s="11" t="s">
        <v>101</v>
      </c>
      <c r="P199" s="12">
        <v>25.544257909999999</v>
      </c>
      <c r="Q199" s="12">
        <v>-103.52780370000001</v>
      </c>
      <c r="R199" s="9" t="s">
        <v>1044</v>
      </c>
      <c r="S199" s="13"/>
      <c r="T199" s="13"/>
      <c r="U199" s="13"/>
    </row>
    <row r="200" spans="1:21" x14ac:dyDescent="0.3">
      <c r="A200" s="9">
        <v>199</v>
      </c>
      <c r="B200" s="9" t="s">
        <v>38</v>
      </c>
      <c r="C200" s="9" t="s">
        <v>52</v>
      </c>
      <c r="D200" s="9" t="s">
        <v>1045</v>
      </c>
      <c r="E200" s="9" t="s">
        <v>1046</v>
      </c>
      <c r="F200" s="9"/>
      <c r="G200" s="9" t="s">
        <v>104</v>
      </c>
      <c r="H200" s="9" t="s">
        <v>97</v>
      </c>
      <c r="I200" s="9" t="s">
        <v>1047</v>
      </c>
      <c r="J200" s="9" t="s">
        <v>1045</v>
      </c>
      <c r="K200" s="9" t="s">
        <v>1048</v>
      </c>
      <c r="L200" s="9" t="s">
        <v>1049</v>
      </c>
      <c r="M200" s="9"/>
      <c r="N200" s="9"/>
      <c r="O200" s="11" t="s">
        <v>101</v>
      </c>
      <c r="P200" s="12">
        <v>25.496458700000002</v>
      </c>
      <c r="Q200" s="12">
        <v>-103.59454340000001</v>
      </c>
      <c r="R200" s="9" t="s">
        <v>1050</v>
      </c>
      <c r="S200" s="13"/>
      <c r="T200" s="13"/>
      <c r="U200" s="13"/>
    </row>
    <row r="201" spans="1:21" x14ac:dyDescent="0.3">
      <c r="A201" s="9">
        <v>200</v>
      </c>
      <c r="B201" s="9" t="s">
        <v>38</v>
      </c>
      <c r="C201" s="9" t="s">
        <v>52</v>
      </c>
      <c r="D201" s="9" t="s">
        <v>52</v>
      </c>
      <c r="E201" s="9" t="s">
        <v>549</v>
      </c>
      <c r="F201" s="9"/>
      <c r="G201" s="9" t="s">
        <v>104</v>
      </c>
      <c r="H201" s="9" t="s">
        <v>97</v>
      </c>
      <c r="I201" s="9" t="s">
        <v>1051</v>
      </c>
      <c r="J201" s="9" t="s">
        <v>1033</v>
      </c>
      <c r="K201" s="9" t="s">
        <v>1029</v>
      </c>
      <c r="L201" s="9" t="s">
        <v>1052</v>
      </c>
      <c r="M201" s="9"/>
      <c r="N201" s="9"/>
      <c r="O201" s="11" t="s">
        <v>101</v>
      </c>
      <c r="P201" s="12">
        <v>25.54195112</v>
      </c>
      <c r="Q201" s="12">
        <v>-103.50837609</v>
      </c>
      <c r="R201" s="9" t="s">
        <v>1053</v>
      </c>
      <c r="S201" s="13"/>
      <c r="T201" s="13"/>
      <c r="U201" s="13"/>
    </row>
    <row r="202" spans="1:21" x14ac:dyDescent="0.3">
      <c r="A202" s="9">
        <v>201</v>
      </c>
      <c r="B202" s="9" t="s">
        <v>38</v>
      </c>
      <c r="C202" s="9" t="s">
        <v>52</v>
      </c>
      <c r="D202" s="9" t="s">
        <v>52</v>
      </c>
      <c r="E202" s="9" t="s">
        <v>1054</v>
      </c>
      <c r="F202" s="9"/>
      <c r="G202" s="9" t="s">
        <v>569</v>
      </c>
      <c r="H202" s="9" t="s">
        <v>97</v>
      </c>
      <c r="I202" s="9" t="s">
        <v>1055</v>
      </c>
      <c r="J202" s="9" t="s">
        <v>1041</v>
      </c>
      <c r="K202" s="9" t="s">
        <v>1042</v>
      </c>
      <c r="L202" s="9" t="s">
        <v>1056</v>
      </c>
      <c r="M202" s="9"/>
      <c r="N202" s="9"/>
      <c r="O202" s="11" t="s">
        <v>101</v>
      </c>
      <c r="P202" s="12">
        <v>25.535339499999999</v>
      </c>
      <c r="Q202" s="12">
        <v>-103.52584976999999</v>
      </c>
      <c r="R202" s="9" t="s">
        <v>1057</v>
      </c>
      <c r="S202" s="13"/>
      <c r="T202" s="13"/>
      <c r="U202" s="13"/>
    </row>
    <row r="203" spans="1:21" x14ac:dyDescent="0.3">
      <c r="A203" s="9">
        <v>202</v>
      </c>
      <c r="B203" s="9" t="s">
        <v>38</v>
      </c>
      <c r="C203" s="9" t="s">
        <v>52</v>
      </c>
      <c r="D203" s="9" t="s">
        <v>52</v>
      </c>
      <c r="E203" s="9" t="s">
        <v>689</v>
      </c>
      <c r="F203" s="9"/>
      <c r="G203" s="9" t="s">
        <v>116</v>
      </c>
      <c r="H203" s="9" t="s">
        <v>97</v>
      </c>
      <c r="I203" s="9" t="s">
        <v>1058</v>
      </c>
      <c r="J203" s="9" t="s">
        <v>1059</v>
      </c>
      <c r="K203" s="9" t="s">
        <v>1029</v>
      </c>
      <c r="L203" s="9" t="s">
        <v>1060</v>
      </c>
      <c r="M203" s="9"/>
      <c r="N203" s="9"/>
      <c r="O203" s="11" t="s">
        <v>101</v>
      </c>
      <c r="P203" s="12">
        <v>25.552193079999999</v>
      </c>
      <c r="Q203" s="12">
        <v>-103.51049808</v>
      </c>
      <c r="R203" s="9" t="s">
        <v>1061</v>
      </c>
      <c r="S203" s="13"/>
      <c r="T203" s="13"/>
      <c r="U203" s="13"/>
    </row>
    <row r="204" spans="1:21" x14ac:dyDescent="0.3">
      <c r="A204" s="9">
        <v>203</v>
      </c>
      <c r="B204" s="9" t="s">
        <v>38</v>
      </c>
      <c r="C204" s="9" t="s">
        <v>52</v>
      </c>
      <c r="D204" s="9" t="s">
        <v>52</v>
      </c>
      <c r="E204" s="9" t="s">
        <v>1062</v>
      </c>
      <c r="F204" s="9" t="s">
        <v>1062</v>
      </c>
      <c r="G204" s="9" t="s">
        <v>34</v>
      </c>
      <c r="H204" s="9" t="s">
        <v>1063</v>
      </c>
      <c r="I204" s="9" t="s">
        <v>1064</v>
      </c>
      <c r="J204" s="9" t="s">
        <v>1065</v>
      </c>
      <c r="K204" s="9" t="s">
        <v>1066</v>
      </c>
      <c r="L204" s="9"/>
      <c r="M204" s="9" t="s">
        <v>1067</v>
      </c>
      <c r="N204" s="9"/>
      <c r="O204" s="11" t="s">
        <v>101</v>
      </c>
      <c r="P204" s="12">
        <v>25.547598789999999</v>
      </c>
      <c r="Q204" s="12">
        <v>-103.5320818</v>
      </c>
      <c r="R204" s="9" t="s">
        <v>1068</v>
      </c>
      <c r="S204" s="13"/>
      <c r="T204" s="13"/>
      <c r="U204" s="13"/>
    </row>
    <row r="205" spans="1:21" x14ac:dyDescent="0.3">
      <c r="A205" s="9">
        <v>204</v>
      </c>
      <c r="B205" s="9" t="s">
        <v>38</v>
      </c>
      <c r="C205" s="9" t="s">
        <v>52</v>
      </c>
      <c r="D205" s="9" t="s">
        <v>52</v>
      </c>
      <c r="E205" s="9" t="s">
        <v>1069</v>
      </c>
      <c r="F205" s="9"/>
      <c r="G205" s="9" t="s">
        <v>104</v>
      </c>
      <c r="H205" s="9" t="s">
        <v>97</v>
      </c>
      <c r="I205" s="9" t="s">
        <v>1070</v>
      </c>
      <c r="J205" s="9" t="s">
        <v>1071</v>
      </c>
      <c r="K205" s="9" t="s">
        <v>1072</v>
      </c>
      <c r="L205" s="9"/>
      <c r="M205" s="9"/>
      <c r="N205" s="9"/>
      <c r="O205" s="11" t="s">
        <v>101</v>
      </c>
      <c r="P205" s="12">
        <v>25.52046953</v>
      </c>
      <c r="Q205" s="12">
        <v>-103.52860541</v>
      </c>
      <c r="R205" s="9" t="s">
        <v>1073</v>
      </c>
      <c r="S205" s="13"/>
      <c r="T205" s="13"/>
      <c r="U205" s="13"/>
    </row>
    <row r="206" spans="1:21" x14ac:dyDescent="0.3">
      <c r="A206" s="9">
        <v>205</v>
      </c>
      <c r="B206" s="9" t="s">
        <v>39</v>
      </c>
      <c r="C206" s="9" t="s">
        <v>39</v>
      </c>
      <c r="D206" s="9" t="s">
        <v>39</v>
      </c>
      <c r="E206" s="9" t="s">
        <v>1074</v>
      </c>
      <c r="F206" s="9"/>
      <c r="G206" s="9" t="s">
        <v>790</v>
      </c>
      <c r="H206" s="9" t="s">
        <v>97</v>
      </c>
      <c r="I206" s="9" t="s">
        <v>1075</v>
      </c>
      <c r="J206" s="9" t="s">
        <v>1076</v>
      </c>
      <c r="K206" s="9" t="s">
        <v>1077</v>
      </c>
      <c r="L206" s="9"/>
      <c r="M206" s="9" t="s">
        <v>1078</v>
      </c>
      <c r="N206" s="9"/>
      <c r="O206" s="11" t="s">
        <v>101</v>
      </c>
      <c r="P206" s="12">
        <v>25.56233091</v>
      </c>
      <c r="Q206" s="12">
        <v>-103.43023904</v>
      </c>
      <c r="R206" s="9" t="s">
        <v>1079</v>
      </c>
      <c r="S206" s="13"/>
      <c r="T206" s="13"/>
      <c r="U206" s="13"/>
    </row>
    <row r="207" spans="1:21" x14ac:dyDescent="0.3">
      <c r="A207" s="9">
        <v>206</v>
      </c>
      <c r="B207" s="9" t="s">
        <v>39</v>
      </c>
      <c r="C207" s="9" t="s">
        <v>39</v>
      </c>
      <c r="D207" s="9" t="s">
        <v>39</v>
      </c>
      <c r="E207" s="9" t="s">
        <v>1080</v>
      </c>
      <c r="F207" s="9"/>
      <c r="G207" s="9" t="s">
        <v>34</v>
      </c>
      <c r="H207" s="9" t="s">
        <v>97</v>
      </c>
      <c r="I207" s="9" t="s">
        <v>1081</v>
      </c>
      <c r="J207" s="9" t="s">
        <v>1041</v>
      </c>
      <c r="K207" s="9" t="s">
        <v>1082</v>
      </c>
      <c r="L207" s="9"/>
      <c r="M207" s="9" t="s">
        <v>1083</v>
      </c>
      <c r="N207" s="9"/>
      <c r="O207" s="11" t="s">
        <v>101</v>
      </c>
      <c r="P207" s="12">
        <v>25.550911429999999</v>
      </c>
      <c r="Q207" s="12">
        <v>-103.42683196999999</v>
      </c>
      <c r="R207" s="9" t="s">
        <v>1084</v>
      </c>
      <c r="S207" s="13"/>
      <c r="T207" s="13"/>
      <c r="U207" s="13"/>
    </row>
    <row r="208" spans="1:21" x14ac:dyDescent="0.3">
      <c r="A208" s="9">
        <v>207</v>
      </c>
      <c r="B208" s="9" t="s">
        <v>39</v>
      </c>
      <c r="C208" s="9" t="s">
        <v>39</v>
      </c>
      <c r="D208" s="9" t="s">
        <v>39</v>
      </c>
      <c r="E208" s="9" t="s">
        <v>1085</v>
      </c>
      <c r="F208" s="9"/>
      <c r="G208" s="9" t="s">
        <v>34</v>
      </c>
      <c r="H208" s="9" t="s">
        <v>97</v>
      </c>
      <c r="I208" s="9" t="s">
        <v>1086</v>
      </c>
      <c r="J208" s="9" t="s">
        <v>1087</v>
      </c>
      <c r="K208" s="9" t="s">
        <v>1088</v>
      </c>
      <c r="L208" s="9" t="s">
        <v>1089</v>
      </c>
      <c r="M208" s="9"/>
      <c r="N208" s="9"/>
      <c r="O208" s="11" t="s">
        <v>101</v>
      </c>
      <c r="P208" s="12">
        <v>25.575185390000001</v>
      </c>
      <c r="Q208" s="12">
        <v>-103.37565254</v>
      </c>
      <c r="R208" s="9" t="s">
        <v>1090</v>
      </c>
      <c r="S208" s="13"/>
      <c r="T208" s="13"/>
      <c r="U208" s="13"/>
    </row>
    <row r="209" spans="1:21" x14ac:dyDescent="0.3">
      <c r="A209" s="9">
        <v>208</v>
      </c>
      <c r="B209" s="9" t="s">
        <v>39</v>
      </c>
      <c r="C209" s="9" t="s">
        <v>39</v>
      </c>
      <c r="D209" s="9" t="s">
        <v>39</v>
      </c>
      <c r="E209" s="9" t="s">
        <v>1091</v>
      </c>
      <c r="F209" s="9"/>
      <c r="G209" s="9" t="s">
        <v>34</v>
      </c>
      <c r="H209" s="9" t="s">
        <v>438</v>
      </c>
      <c r="I209" s="9" t="s">
        <v>1092</v>
      </c>
      <c r="J209" s="9" t="s">
        <v>1093</v>
      </c>
      <c r="K209" s="9" t="s">
        <v>1077</v>
      </c>
      <c r="L209" s="9"/>
      <c r="M209" s="9"/>
      <c r="N209" s="9"/>
      <c r="O209" s="11" t="s">
        <v>101</v>
      </c>
      <c r="P209" s="12">
        <v>25.570587249999999</v>
      </c>
      <c r="Q209" s="12">
        <v>-103.42091342000001</v>
      </c>
      <c r="R209" s="9" t="s">
        <v>1094</v>
      </c>
      <c r="S209" s="13"/>
      <c r="T209" s="13"/>
      <c r="U209" s="13"/>
    </row>
    <row r="210" spans="1:21" x14ac:dyDescent="0.3">
      <c r="A210" s="9">
        <v>209</v>
      </c>
      <c r="B210" s="9" t="s">
        <v>39</v>
      </c>
      <c r="C210" s="9" t="s">
        <v>39</v>
      </c>
      <c r="D210" s="9" t="s">
        <v>39</v>
      </c>
      <c r="E210" s="9" t="s">
        <v>1095</v>
      </c>
      <c r="F210" s="9"/>
      <c r="G210" s="9" t="s">
        <v>34</v>
      </c>
      <c r="H210" s="9" t="s">
        <v>97</v>
      </c>
      <c r="I210" s="9" t="s">
        <v>1096</v>
      </c>
      <c r="J210" s="9" t="s">
        <v>1041</v>
      </c>
      <c r="K210" s="9" t="s">
        <v>1082</v>
      </c>
      <c r="L210" s="9"/>
      <c r="M210" s="9"/>
      <c r="N210" s="9"/>
      <c r="O210" s="11" t="s">
        <v>101</v>
      </c>
      <c r="P210" s="12">
        <v>25.538035730000001</v>
      </c>
      <c r="Q210" s="12">
        <v>-103.4266854</v>
      </c>
      <c r="R210" s="9" t="s">
        <v>1097</v>
      </c>
      <c r="S210" s="13"/>
      <c r="T210" s="13"/>
      <c r="U210" s="13"/>
    </row>
    <row r="211" spans="1:21" x14ac:dyDescent="0.3">
      <c r="A211" s="9">
        <v>210</v>
      </c>
      <c r="B211" s="9" t="s">
        <v>39</v>
      </c>
      <c r="C211" s="9" t="s">
        <v>39</v>
      </c>
      <c r="D211" s="9" t="s">
        <v>39</v>
      </c>
      <c r="E211" s="9" t="s">
        <v>1098</v>
      </c>
      <c r="F211" s="9"/>
      <c r="G211" s="9" t="s">
        <v>34</v>
      </c>
      <c r="H211" s="9" t="s">
        <v>97</v>
      </c>
      <c r="I211" s="9" t="s">
        <v>1099</v>
      </c>
      <c r="J211" s="9" t="s">
        <v>1041</v>
      </c>
      <c r="K211" s="9" t="s">
        <v>1082</v>
      </c>
      <c r="L211" s="9"/>
      <c r="M211" s="9"/>
      <c r="N211" s="9"/>
      <c r="O211" s="11" t="s">
        <v>101</v>
      </c>
      <c r="P211" s="12">
        <v>25.539667120000001</v>
      </c>
      <c r="Q211" s="12">
        <v>-103.43543233</v>
      </c>
      <c r="R211" s="9" t="s">
        <v>1100</v>
      </c>
      <c r="S211" s="13"/>
      <c r="T211" s="13"/>
      <c r="U211" s="13"/>
    </row>
    <row r="212" spans="1:21" x14ac:dyDescent="0.3">
      <c r="A212" s="9">
        <v>211</v>
      </c>
      <c r="B212" s="9" t="s">
        <v>39</v>
      </c>
      <c r="C212" s="9" t="s">
        <v>39</v>
      </c>
      <c r="D212" s="9" t="s">
        <v>39</v>
      </c>
      <c r="E212" s="9" t="s">
        <v>1101</v>
      </c>
      <c r="F212" s="9"/>
      <c r="G212" s="9" t="s">
        <v>34</v>
      </c>
      <c r="H212" s="9" t="s">
        <v>97</v>
      </c>
      <c r="I212" s="9" t="s">
        <v>1102</v>
      </c>
      <c r="J212" s="9" t="s">
        <v>1103</v>
      </c>
      <c r="K212" s="9" t="s">
        <v>1104</v>
      </c>
      <c r="L212" s="9" t="s">
        <v>1105</v>
      </c>
      <c r="M212" s="9"/>
      <c r="N212" s="9"/>
      <c r="O212" s="11" t="s">
        <v>101</v>
      </c>
      <c r="P212" s="12">
        <v>25.517855019999999</v>
      </c>
      <c r="Q212" s="12">
        <v>-103.39633727</v>
      </c>
      <c r="R212" s="9" t="s">
        <v>1106</v>
      </c>
      <c r="S212" s="13"/>
      <c r="T212" s="13"/>
      <c r="U212" s="13"/>
    </row>
    <row r="213" spans="1:21" x14ac:dyDescent="0.3">
      <c r="A213" s="9">
        <v>212</v>
      </c>
      <c r="B213" s="9" t="s">
        <v>39</v>
      </c>
      <c r="C213" s="9" t="s">
        <v>39</v>
      </c>
      <c r="D213" s="9" t="s">
        <v>39</v>
      </c>
      <c r="E213" s="9" t="s">
        <v>1107</v>
      </c>
      <c r="F213" s="9"/>
      <c r="G213" s="9" t="s">
        <v>34</v>
      </c>
      <c r="H213" s="9" t="s">
        <v>97</v>
      </c>
      <c r="I213" s="9" t="s">
        <v>1108</v>
      </c>
      <c r="J213" s="9" t="s">
        <v>1109</v>
      </c>
      <c r="K213" s="9" t="s">
        <v>1110</v>
      </c>
      <c r="L213" s="9" t="s">
        <v>1111</v>
      </c>
      <c r="M213" s="9"/>
      <c r="N213" s="9"/>
      <c r="O213" s="11" t="s">
        <v>101</v>
      </c>
      <c r="P213" s="12">
        <v>25.56911221</v>
      </c>
      <c r="Q213" s="12">
        <v>-103.43524196</v>
      </c>
      <c r="R213" s="9" t="s">
        <v>1112</v>
      </c>
      <c r="S213" s="13"/>
      <c r="T213" s="13"/>
      <c r="U213" s="13"/>
    </row>
    <row r="214" spans="1:21" x14ac:dyDescent="0.3">
      <c r="A214" s="9">
        <v>213</v>
      </c>
      <c r="B214" s="9" t="s">
        <v>39</v>
      </c>
      <c r="C214" s="9" t="s">
        <v>39</v>
      </c>
      <c r="D214" s="9" t="s">
        <v>39</v>
      </c>
      <c r="E214" s="9" t="s">
        <v>1113</v>
      </c>
      <c r="F214" s="9"/>
      <c r="G214" s="9" t="s">
        <v>34</v>
      </c>
      <c r="H214" s="9" t="s">
        <v>97</v>
      </c>
      <c r="I214" s="9" t="s">
        <v>1114</v>
      </c>
      <c r="J214" s="9" t="s">
        <v>1115</v>
      </c>
      <c r="K214" s="9" t="s">
        <v>1116</v>
      </c>
      <c r="L214" s="9" t="s">
        <v>1117</v>
      </c>
      <c r="M214" s="9"/>
      <c r="N214" s="9" t="s">
        <v>1118</v>
      </c>
      <c r="O214" s="11" t="s">
        <v>101</v>
      </c>
      <c r="P214" s="12">
        <v>25.614517419999999</v>
      </c>
      <c r="Q214" s="12">
        <v>-103.39018660000001</v>
      </c>
      <c r="R214" s="9" t="s">
        <v>1119</v>
      </c>
      <c r="S214" s="13"/>
      <c r="T214" s="13"/>
      <c r="U214" s="13"/>
    </row>
    <row r="215" spans="1:21" x14ac:dyDescent="0.3">
      <c r="A215" s="9">
        <v>214</v>
      </c>
      <c r="B215" s="9" t="s">
        <v>39</v>
      </c>
      <c r="C215" s="9" t="s">
        <v>39</v>
      </c>
      <c r="D215" s="9" t="s">
        <v>39</v>
      </c>
      <c r="E215" s="9" t="s">
        <v>1120</v>
      </c>
      <c r="F215" s="9"/>
      <c r="G215" s="9" t="s">
        <v>34</v>
      </c>
      <c r="H215" s="9" t="s">
        <v>97</v>
      </c>
      <c r="I215" s="9" t="s">
        <v>1121</v>
      </c>
      <c r="J215" s="9" t="s">
        <v>1122</v>
      </c>
      <c r="K215" s="9" t="s">
        <v>1123</v>
      </c>
      <c r="L215" s="9" t="s">
        <v>1124</v>
      </c>
      <c r="M215" s="9"/>
      <c r="N215" s="9"/>
      <c r="O215" s="11" t="s">
        <v>101</v>
      </c>
      <c r="P215" s="12">
        <v>25.526893350000002</v>
      </c>
      <c r="Q215" s="12">
        <v>-103.41546139</v>
      </c>
      <c r="R215" s="9" t="s">
        <v>1125</v>
      </c>
      <c r="S215" s="13"/>
      <c r="T215" s="13"/>
      <c r="U215" s="13"/>
    </row>
    <row r="216" spans="1:21" x14ac:dyDescent="0.3">
      <c r="A216" s="9">
        <v>215</v>
      </c>
      <c r="B216" s="9" t="s">
        <v>39</v>
      </c>
      <c r="C216" s="9" t="s">
        <v>39</v>
      </c>
      <c r="D216" s="9" t="s">
        <v>39</v>
      </c>
      <c r="E216" s="9" t="s">
        <v>1126</v>
      </c>
      <c r="F216" s="9" t="s">
        <v>1127</v>
      </c>
      <c r="G216" s="9" t="s">
        <v>104</v>
      </c>
      <c r="H216" s="9" t="s">
        <v>967</v>
      </c>
      <c r="I216" s="9" t="s">
        <v>1128</v>
      </c>
      <c r="J216" s="9" t="s">
        <v>1041</v>
      </c>
      <c r="K216" s="9" t="s">
        <v>1082</v>
      </c>
      <c r="L216" s="9"/>
      <c r="M216" s="9" t="s">
        <v>1129</v>
      </c>
      <c r="N216" s="9"/>
      <c r="O216" s="11" t="s">
        <v>101</v>
      </c>
      <c r="P216" s="12">
        <v>25.53824084</v>
      </c>
      <c r="Q216" s="12">
        <v>-103.44198562</v>
      </c>
      <c r="R216" s="9" t="s">
        <v>1130</v>
      </c>
      <c r="S216" s="13"/>
      <c r="T216" s="13"/>
      <c r="U216" s="13"/>
    </row>
    <row r="217" spans="1:21" x14ac:dyDescent="0.3">
      <c r="A217" s="9">
        <v>216</v>
      </c>
      <c r="B217" s="9" t="s">
        <v>39</v>
      </c>
      <c r="C217" s="9" t="s">
        <v>39</v>
      </c>
      <c r="D217" s="9" t="s">
        <v>39</v>
      </c>
      <c r="E217" s="9" t="s">
        <v>1131</v>
      </c>
      <c r="F217" s="9"/>
      <c r="G217" s="9" t="s">
        <v>34</v>
      </c>
      <c r="H217" s="9" t="s">
        <v>97</v>
      </c>
      <c r="I217" s="9" t="s">
        <v>1132</v>
      </c>
      <c r="J217" s="9" t="s">
        <v>1133</v>
      </c>
      <c r="K217" s="9" t="s">
        <v>1134</v>
      </c>
      <c r="L217" s="9" t="s">
        <v>1135</v>
      </c>
      <c r="M217" s="9" t="s">
        <v>1136</v>
      </c>
      <c r="N217" s="9"/>
      <c r="O217" s="11" t="s">
        <v>101</v>
      </c>
      <c r="P217" s="12">
        <v>25.583155680000001</v>
      </c>
      <c r="Q217" s="12">
        <v>-103.38066899</v>
      </c>
      <c r="R217" s="9" t="s">
        <v>1137</v>
      </c>
      <c r="S217" s="13"/>
      <c r="T217" s="13"/>
      <c r="U217" s="13"/>
    </row>
    <row r="218" spans="1:21" x14ac:dyDescent="0.3">
      <c r="A218" s="9">
        <v>217</v>
      </c>
      <c r="B218" s="9" t="s">
        <v>39</v>
      </c>
      <c r="C218" s="9" t="s">
        <v>39</v>
      </c>
      <c r="D218" s="9" t="s">
        <v>39</v>
      </c>
      <c r="E218" s="9" t="s">
        <v>1138</v>
      </c>
      <c r="F218" s="9"/>
      <c r="G218" s="9" t="s">
        <v>116</v>
      </c>
      <c r="H218" s="9" t="s">
        <v>97</v>
      </c>
      <c r="I218" s="9" t="s">
        <v>1139</v>
      </c>
      <c r="J218" s="9" t="s">
        <v>1041</v>
      </c>
      <c r="K218" s="9" t="s">
        <v>1082</v>
      </c>
      <c r="L218" s="9" t="s">
        <v>1140</v>
      </c>
      <c r="M218" s="9"/>
      <c r="N218" s="9"/>
      <c r="O218" s="11" t="s">
        <v>101</v>
      </c>
      <c r="P218" s="12">
        <v>25.549680429999999</v>
      </c>
      <c r="Q218" s="12">
        <v>-103.43688267</v>
      </c>
      <c r="R218" s="9" t="s">
        <v>1141</v>
      </c>
      <c r="S218" s="13"/>
      <c r="T218" s="13"/>
      <c r="U218" s="13"/>
    </row>
    <row r="219" spans="1:21" x14ac:dyDescent="0.3">
      <c r="A219" s="9">
        <v>218</v>
      </c>
      <c r="B219" s="9" t="s">
        <v>39</v>
      </c>
      <c r="C219" s="9" t="s">
        <v>39</v>
      </c>
      <c r="D219" s="9" t="s">
        <v>39</v>
      </c>
      <c r="E219" s="9" t="s">
        <v>1142</v>
      </c>
      <c r="F219" s="9"/>
      <c r="G219" s="9" t="s">
        <v>34</v>
      </c>
      <c r="H219" s="9" t="s">
        <v>97</v>
      </c>
      <c r="I219" s="9" t="s">
        <v>1143</v>
      </c>
      <c r="J219" s="9" t="s">
        <v>1041</v>
      </c>
      <c r="K219" s="9" t="s">
        <v>1082</v>
      </c>
      <c r="L219" s="9" t="s">
        <v>1144</v>
      </c>
      <c r="M219" s="9"/>
      <c r="N219" s="9"/>
      <c r="O219" s="11" t="s">
        <v>101</v>
      </c>
      <c r="P219" s="12">
        <v>25.550609590000001</v>
      </c>
      <c r="Q219" s="12">
        <v>-103.42768325999999</v>
      </c>
      <c r="R219" s="9" t="s">
        <v>1145</v>
      </c>
      <c r="S219" s="13"/>
      <c r="T219" s="13"/>
      <c r="U219" s="13"/>
    </row>
    <row r="220" spans="1:21" x14ac:dyDescent="0.3">
      <c r="A220" s="9">
        <v>219</v>
      </c>
      <c r="B220" s="9" t="s">
        <v>39</v>
      </c>
      <c r="C220" s="9" t="s">
        <v>39</v>
      </c>
      <c r="D220" s="9" t="s">
        <v>39</v>
      </c>
      <c r="E220" s="9" t="s">
        <v>1146</v>
      </c>
      <c r="F220" s="9"/>
      <c r="G220" s="9" t="s">
        <v>104</v>
      </c>
      <c r="H220" s="9" t="s">
        <v>97</v>
      </c>
      <c r="I220" s="9" t="s">
        <v>1147</v>
      </c>
      <c r="J220" s="9" t="s">
        <v>1103</v>
      </c>
      <c r="K220" s="9" t="s">
        <v>1148</v>
      </c>
      <c r="L220" s="9"/>
      <c r="M220" s="9"/>
      <c r="N220" s="9"/>
      <c r="O220" s="11" t="s">
        <v>101</v>
      </c>
      <c r="P220" s="12">
        <v>25.527871659999999</v>
      </c>
      <c r="Q220" s="12">
        <v>-103.40023597</v>
      </c>
      <c r="R220" s="9" t="s">
        <v>1149</v>
      </c>
      <c r="S220" s="13"/>
      <c r="T220" s="13"/>
      <c r="U220" s="13"/>
    </row>
    <row r="221" spans="1:21" x14ac:dyDescent="0.3">
      <c r="A221" s="9">
        <v>220</v>
      </c>
      <c r="B221" s="9" t="s">
        <v>39</v>
      </c>
      <c r="C221" s="9" t="s">
        <v>39</v>
      </c>
      <c r="D221" s="9" t="s">
        <v>39</v>
      </c>
      <c r="E221" s="9" t="s">
        <v>1150</v>
      </c>
      <c r="F221" s="9" t="s">
        <v>1150</v>
      </c>
      <c r="G221" s="9" t="s">
        <v>34</v>
      </c>
      <c r="H221" s="9" t="s">
        <v>97</v>
      </c>
      <c r="I221" s="9" t="s">
        <v>1151</v>
      </c>
      <c r="J221" s="9" t="s">
        <v>1152</v>
      </c>
      <c r="K221" s="9" t="s">
        <v>1153</v>
      </c>
      <c r="L221" s="9"/>
      <c r="M221" s="9"/>
      <c r="N221" s="9"/>
      <c r="O221" s="11" t="s">
        <v>101</v>
      </c>
      <c r="P221" s="12">
        <v>25.546824099999998</v>
      </c>
      <c r="Q221" s="12">
        <v>-103.39302606</v>
      </c>
      <c r="R221" s="9" t="s">
        <v>1154</v>
      </c>
      <c r="S221" s="13"/>
      <c r="T221" s="13"/>
      <c r="U221" s="13"/>
    </row>
    <row r="222" spans="1:21" x14ac:dyDescent="0.3">
      <c r="A222" s="9">
        <v>221</v>
      </c>
      <c r="B222" s="9" t="s">
        <v>39</v>
      </c>
      <c r="C222" s="9" t="s">
        <v>39</v>
      </c>
      <c r="D222" s="9" t="s">
        <v>39</v>
      </c>
      <c r="E222" s="9" t="s">
        <v>1155</v>
      </c>
      <c r="F222" s="9"/>
      <c r="G222" s="9" t="s">
        <v>104</v>
      </c>
      <c r="H222" s="9" t="s">
        <v>97</v>
      </c>
      <c r="I222" s="9" t="s">
        <v>1156</v>
      </c>
      <c r="J222" s="9" t="s">
        <v>1157</v>
      </c>
      <c r="K222" s="9" t="s">
        <v>1158</v>
      </c>
      <c r="L222" s="9" t="s">
        <v>1159</v>
      </c>
      <c r="M222" s="9"/>
      <c r="N222" s="9"/>
      <c r="O222" s="11" t="s">
        <v>101</v>
      </c>
      <c r="P222" s="12">
        <v>25.572593189999999</v>
      </c>
      <c r="Q222" s="12">
        <v>-103.365843</v>
      </c>
      <c r="R222" s="9" t="s">
        <v>1160</v>
      </c>
      <c r="S222" s="13"/>
      <c r="T222" s="13"/>
      <c r="U222" s="13"/>
    </row>
    <row r="223" spans="1:21" x14ac:dyDescent="0.3">
      <c r="A223" s="9">
        <v>222</v>
      </c>
      <c r="B223" s="9" t="s">
        <v>39</v>
      </c>
      <c r="C223" s="9" t="s">
        <v>39</v>
      </c>
      <c r="D223" s="9" t="s">
        <v>39</v>
      </c>
      <c r="E223" s="9" t="s">
        <v>1161</v>
      </c>
      <c r="F223" s="9"/>
      <c r="G223" s="9" t="s">
        <v>96</v>
      </c>
      <c r="H223" s="9" t="s">
        <v>97</v>
      </c>
      <c r="I223" s="9" t="s">
        <v>1162</v>
      </c>
      <c r="J223" s="9" t="s">
        <v>1163</v>
      </c>
      <c r="K223" s="9" t="s">
        <v>1110</v>
      </c>
      <c r="L223" s="9" t="s">
        <v>1164</v>
      </c>
      <c r="M223" s="9"/>
      <c r="N223" s="9"/>
      <c r="O223" s="11" t="s">
        <v>101</v>
      </c>
      <c r="P223" s="12">
        <v>25.56863671</v>
      </c>
      <c r="Q223" s="12">
        <v>-103.44562046</v>
      </c>
      <c r="R223" s="9" t="s">
        <v>1165</v>
      </c>
      <c r="S223" s="13"/>
      <c r="T223" s="13"/>
      <c r="U223" s="13"/>
    </row>
    <row r="224" spans="1:21" x14ac:dyDescent="0.3">
      <c r="A224" s="9">
        <v>223</v>
      </c>
      <c r="B224" s="9" t="s">
        <v>39</v>
      </c>
      <c r="C224" s="9" t="s">
        <v>39</v>
      </c>
      <c r="D224" s="9" t="s">
        <v>39</v>
      </c>
      <c r="E224" s="9" t="s">
        <v>1166</v>
      </c>
      <c r="F224" s="9"/>
      <c r="G224" s="9" t="s">
        <v>104</v>
      </c>
      <c r="H224" s="9" t="s">
        <v>97</v>
      </c>
      <c r="I224" s="9" t="s">
        <v>1167</v>
      </c>
      <c r="J224" s="9" t="s">
        <v>1168</v>
      </c>
      <c r="K224" s="9" t="s">
        <v>1169</v>
      </c>
      <c r="L224" s="9" t="s">
        <v>1170</v>
      </c>
      <c r="M224" s="9"/>
      <c r="N224" s="9"/>
      <c r="O224" s="11" t="s">
        <v>101</v>
      </c>
      <c r="P224" s="12">
        <v>25.51653348</v>
      </c>
      <c r="Q224" s="12">
        <v>-103.38776091</v>
      </c>
      <c r="R224" s="9" t="s">
        <v>1171</v>
      </c>
      <c r="S224" s="13"/>
      <c r="T224" s="13"/>
      <c r="U224" s="13"/>
    </row>
    <row r="225" spans="1:21" x14ac:dyDescent="0.3">
      <c r="A225" s="9">
        <v>224</v>
      </c>
      <c r="B225" s="9" t="s">
        <v>39</v>
      </c>
      <c r="C225" s="9" t="s">
        <v>39</v>
      </c>
      <c r="D225" s="9" t="s">
        <v>39</v>
      </c>
      <c r="E225" s="9" t="s">
        <v>1172</v>
      </c>
      <c r="F225" s="9"/>
      <c r="G225" s="9" t="s">
        <v>34</v>
      </c>
      <c r="H225" s="9" t="s">
        <v>97</v>
      </c>
      <c r="I225" s="9" t="s">
        <v>1173</v>
      </c>
      <c r="J225" s="9" t="s">
        <v>1174</v>
      </c>
      <c r="K225" s="9" t="s">
        <v>1175</v>
      </c>
      <c r="L225" s="9"/>
      <c r="M225" s="9" t="s">
        <v>1176</v>
      </c>
      <c r="N225" s="9"/>
      <c r="O225" s="11" t="s">
        <v>101</v>
      </c>
      <c r="P225" s="12">
        <v>25.595022010000001</v>
      </c>
      <c r="Q225" s="12">
        <v>-103.40456005999999</v>
      </c>
      <c r="R225" s="9" t="s">
        <v>1177</v>
      </c>
      <c r="S225" s="13"/>
      <c r="T225" s="13"/>
      <c r="U225" s="13"/>
    </row>
    <row r="226" spans="1:21" x14ac:dyDescent="0.3">
      <c r="A226" s="9">
        <v>225</v>
      </c>
      <c r="B226" s="9" t="s">
        <v>39</v>
      </c>
      <c r="C226" s="9" t="s">
        <v>39</v>
      </c>
      <c r="D226" s="9" t="s">
        <v>39</v>
      </c>
      <c r="E226" s="9" t="s">
        <v>1172</v>
      </c>
      <c r="F226" s="9"/>
      <c r="G226" s="9" t="s">
        <v>34</v>
      </c>
      <c r="H226" s="9" t="s">
        <v>97</v>
      </c>
      <c r="I226" s="9" t="s">
        <v>1178</v>
      </c>
      <c r="J226" s="9" t="s">
        <v>1087</v>
      </c>
      <c r="K226" s="9" t="s">
        <v>1088</v>
      </c>
      <c r="L226" s="9" t="s">
        <v>1179</v>
      </c>
      <c r="M226" s="9"/>
      <c r="N226" s="9"/>
      <c r="O226" s="11" t="s">
        <v>101</v>
      </c>
      <c r="P226" s="12">
        <v>25.575185390000001</v>
      </c>
      <c r="Q226" s="12">
        <v>-103.37565254</v>
      </c>
      <c r="R226" s="9" t="s">
        <v>1180</v>
      </c>
      <c r="S226" s="13"/>
      <c r="T226" s="13"/>
      <c r="U226" s="13"/>
    </row>
    <row r="227" spans="1:21" x14ac:dyDescent="0.3">
      <c r="A227" s="9">
        <v>226</v>
      </c>
      <c r="B227" s="9" t="s">
        <v>39</v>
      </c>
      <c r="C227" s="9" t="s">
        <v>39</v>
      </c>
      <c r="D227" s="9" t="s">
        <v>39</v>
      </c>
      <c r="E227" s="9" t="s">
        <v>1181</v>
      </c>
      <c r="F227" s="9"/>
      <c r="G227" s="9" t="s">
        <v>790</v>
      </c>
      <c r="H227" s="9" t="s">
        <v>97</v>
      </c>
      <c r="I227" s="9" t="s">
        <v>1182</v>
      </c>
      <c r="J227" s="9" t="s">
        <v>1122</v>
      </c>
      <c r="K227" s="9" t="s">
        <v>1153</v>
      </c>
      <c r="L227" s="9" t="s">
        <v>1183</v>
      </c>
      <c r="M227" s="9" t="s">
        <v>1184</v>
      </c>
      <c r="N227" s="9"/>
      <c r="O227" s="11" t="s">
        <v>101</v>
      </c>
      <c r="P227" s="12">
        <v>25.53079645</v>
      </c>
      <c r="Q227" s="12">
        <v>-103.41519675000001</v>
      </c>
      <c r="R227" s="9" t="s">
        <v>1185</v>
      </c>
      <c r="S227" s="13"/>
      <c r="T227" s="13"/>
      <c r="U227" s="13"/>
    </row>
    <row r="228" spans="1:21" x14ac:dyDescent="0.3">
      <c r="A228" s="9">
        <v>227</v>
      </c>
      <c r="B228" s="9" t="s">
        <v>39</v>
      </c>
      <c r="C228" s="9" t="s">
        <v>39</v>
      </c>
      <c r="D228" s="9" t="s">
        <v>39</v>
      </c>
      <c r="E228" s="9" t="s">
        <v>1186</v>
      </c>
      <c r="F228" s="9"/>
      <c r="G228" s="9" t="s">
        <v>790</v>
      </c>
      <c r="H228" s="9" t="s">
        <v>97</v>
      </c>
      <c r="I228" s="9" t="s">
        <v>1187</v>
      </c>
      <c r="J228" s="9" t="s">
        <v>1188</v>
      </c>
      <c r="K228" s="9" t="s">
        <v>1116</v>
      </c>
      <c r="L228" s="9"/>
      <c r="M228" s="9"/>
      <c r="N228" s="9"/>
      <c r="O228" s="11" t="s">
        <v>101</v>
      </c>
      <c r="P228" s="12">
        <v>25.577484460000001</v>
      </c>
      <c r="Q228" s="12">
        <v>-103.40871746000001</v>
      </c>
      <c r="R228" s="9" t="s">
        <v>1189</v>
      </c>
      <c r="S228" s="13"/>
      <c r="T228" s="13"/>
      <c r="U228" s="13"/>
    </row>
    <row r="229" spans="1:21" x14ac:dyDescent="0.3">
      <c r="A229" s="9">
        <v>228</v>
      </c>
      <c r="B229" s="9" t="s">
        <v>39</v>
      </c>
      <c r="C229" s="9" t="s">
        <v>39</v>
      </c>
      <c r="D229" s="9" t="s">
        <v>39</v>
      </c>
      <c r="E229" s="9" t="s">
        <v>860</v>
      </c>
      <c r="F229" s="9" t="s">
        <v>860</v>
      </c>
      <c r="G229" s="9" t="s">
        <v>104</v>
      </c>
      <c r="H229" s="9" t="s">
        <v>97</v>
      </c>
      <c r="I229" s="9" t="s">
        <v>1190</v>
      </c>
      <c r="J229" s="9" t="s">
        <v>1076</v>
      </c>
      <c r="K229" s="9" t="s">
        <v>1077</v>
      </c>
      <c r="L229" s="9" t="s">
        <v>1191</v>
      </c>
      <c r="M229" s="9"/>
      <c r="N229" s="9"/>
      <c r="O229" s="11" t="s">
        <v>101</v>
      </c>
      <c r="P229" s="12">
        <v>25.561021929999999</v>
      </c>
      <c r="Q229" s="12">
        <v>-103.43116836999999</v>
      </c>
      <c r="R229" s="9" t="s">
        <v>1192</v>
      </c>
      <c r="S229" s="13"/>
      <c r="T229" s="13"/>
      <c r="U229" s="13"/>
    </row>
    <row r="230" spans="1:21" x14ac:dyDescent="0.3">
      <c r="A230" s="9">
        <v>229</v>
      </c>
      <c r="B230" s="9" t="s">
        <v>39</v>
      </c>
      <c r="C230" s="9" t="s">
        <v>39</v>
      </c>
      <c r="D230" s="9" t="s">
        <v>39</v>
      </c>
      <c r="E230" s="9" t="s">
        <v>1193</v>
      </c>
      <c r="F230" s="9"/>
      <c r="G230" s="9" t="s">
        <v>116</v>
      </c>
      <c r="H230" s="9" t="s">
        <v>97</v>
      </c>
      <c r="I230" s="9" t="s">
        <v>1194</v>
      </c>
      <c r="J230" s="9" t="s">
        <v>1041</v>
      </c>
      <c r="K230" s="9" t="s">
        <v>1082</v>
      </c>
      <c r="L230" s="9" t="s">
        <v>1195</v>
      </c>
      <c r="M230" s="9" t="s">
        <v>1196</v>
      </c>
      <c r="N230" s="9"/>
      <c r="O230" s="11" t="s">
        <v>101</v>
      </c>
      <c r="P230" s="12">
        <v>25.551586010000001</v>
      </c>
      <c r="Q230" s="12">
        <v>-103.43551364</v>
      </c>
      <c r="R230" s="9" t="s">
        <v>1197</v>
      </c>
      <c r="S230" s="13"/>
      <c r="T230" s="13"/>
      <c r="U230" s="13"/>
    </row>
    <row r="231" spans="1:21" x14ac:dyDescent="0.3">
      <c r="A231" s="9">
        <v>230</v>
      </c>
      <c r="B231" s="9" t="s">
        <v>39</v>
      </c>
      <c r="C231" s="9" t="s">
        <v>39</v>
      </c>
      <c r="D231" s="9" t="s">
        <v>39</v>
      </c>
      <c r="E231" s="9" t="s">
        <v>1198</v>
      </c>
      <c r="F231" s="9"/>
      <c r="G231" s="9" t="s">
        <v>34</v>
      </c>
      <c r="H231" s="9" t="s">
        <v>97</v>
      </c>
      <c r="I231" s="9" t="s">
        <v>1199</v>
      </c>
      <c r="J231" s="9" t="s">
        <v>1200</v>
      </c>
      <c r="K231" s="9" t="s">
        <v>1123</v>
      </c>
      <c r="L231" s="9" t="s">
        <v>1201</v>
      </c>
      <c r="M231" s="9" t="s">
        <v>1202</v>
      </c>
      <c r="N231" s="9"/>
      <c r="O231" s="11" t="s">
        <v>101</v>
      </c>
      <c r="P231" s="12">
        <v>25.518685619999999</v>
      </c>
      <c r="Q231" s="12">
        <v>-103.39894064000001</v>
      </c>
      <c r="R231" s="9" t="s">
        <v>1203</v>
      </c>
      <c r="S231" s="13"/>
      <c r="T231" s="13"/>
      <c r="U231" s="13"/>
    </row>
    <row r="232" spans="1:21" x14ac:dyDescent="0.3">
      <c r="A232" s="9">
        <v>231</v>
      </c>
      <c r="B232" s="9" t="s">
        <v>39</v>
      </c>
      <c r="C232" s="9" t="s">
        <v>39</v>
      </c>
      <c r="D232" s="9" t="s">
        <v>39</v>
      </c>
      <c r="E232" s="9" t="s">
        <v>1204</v>
      </c>
      <c r="F232" s="9" t="s">
        <v>1205</v>
      </c>
      <c r="G232" s="9" t="s">
        <v>104</v>
      </c>
      <c r="H232" s="9" t="s">
        <v>97</v>
      </c>
      <c r="I232" s="9" t="s">
        <v>1206</v>
      </c>
      <c r="J232" s="9" t="s">
        <v>1207</v>
      </c>
      <c r="K232" s="9" t="s">
        <v>1208</v>
      </c>
      <c r="L232" s="9"/>
      <c r="M232" s="9"/>
      <c r="N232" s="9"/>
      <c r="O232" s="11" t="s">
        <v>101</v>
      </c>
      <c r="P232" s="12">
        <v>25.54438399</v>
      </c>
      <c r="Q232" s="12">
        <v>-103.38178917</v>
      </c>
      <c r="R232" s="9" t="s">
        <v>1209</v>
      </c>
      <c r="S232" s="13"/>
      <c r="T232" s="13"/>
      <c r="U232" s="13"/>
    </row>
    <row r="233" spans="1:21" x14ac:dyDescent="0.3">
      <c r="A233" s="9">
        <v>232</v>
      </c>
      <c r="B233" s="9" t="s">
        <v>39</v>
      </c>
      <c r="C233" s="9" t="s">
        <v>39</v>
      </c>
      <c r="D233" s="9" t="s">
        <v>39</v>
      </c>
      <c r="E233" s="9" t="s">
        <v>1210</v>
      </c>
      <c r="F233" s="9"/>
      <c r="G233" s="9" t="s">
        <v>790</v>
      </c>
      <c r="H233" s="9" t="s">
        <v>97</v>
      </c>
      <c r="I233" s="9" t="s">
        <v>1211</v>
      </c>
      <c r="J233" s="9" t="s">
        <v>1212</v>
      </c>
      <c r="K233" s="9" t="s">
        <v>1213</v>
      </c>
      <c r="L233" s="9"/>
      <c r="M233" s="9"/>
      <c r="N233" s="9"/>
      <c r="O233" s="11" t="s">
        <v>101</v>
      </c>
      <c r="P233" s="12">
        <v>25.539321869999998</v>
      </c>
      <c r="Q233" s="12">
        <v>-103.34844844</v>
      </c>
      <c r="R233" s="9" t="s">
        <v>1214</v>
      </c>
      <c r="S233" s="13"/>
      <c r="T233" s="13"/>
      <c r="U233" s="13"/>
    </row>
    <row r="234" spans="1:21" x14ac:dyDescent="0.3">
      <c r="A234" s="9">
        <v>233</v>
      </c>
      <c r="B234" s="9" t="s">
        <v>39</v>
      </c>
      <c r="C234" s="9" t="s">
        <v>39</v>
      </c>
      <c r="D234" s="9" t="s">
        <v>39</v>
      </c>
      <c r="E234" s="9" t="s">
        <v>1215</v>
      </c>
      <c r="F234" s="9"/>
      <c r="G234" s="9" t="s">
        <v>116</v>
      </c>
      <c r="H234" s="9" t="s">
        <v>97</v>
      </c>
      <c r="I234" s="9" t="s">
        <v>1108</v>
      </c>
      <c r="J234" s="9" t="s">
        <v>1109</v>
      </c>
      <c r="K234" s="9" t="s">
        <v>1110</v>
      </c>
      <c r="L234" s="9" t="s">
        <v>1216</v>
      </c>
      <c r="M234" s="9"/>
      <c r="N234" s="9"/>
      <c r="O234" s="11" t="s">
        <v>101</v>
      </c>
      <c r="P234" s="12">
        <v>25.56948916</v>
      </c>
      <c r="Q234" s="12">
        <v>-103.43839128</v>
      </c>
      <c r="R234" s="9" t="s">
        <v>1217</v>
      </c>
      <c r="S234" s="13"/>
      <c r="T234" s="13"/>
      <c r="U234" s="13"/>
    </row>
    <row r="235" spans="1:21" x14ac:dyDescent="0.3">
      <c r="A235" s="9">
        <v>234</v>
      </c>
      <c r="B235" s="9" t="s">
        <v>39</v>
      </c>
      <c r="C235" s="9" t="s">
        <v>39</v>
      </c>
      <c r="D235" s="9" t="s">
        <v>39</v>
      </c>
      <c r="E235" s="9" t="s">
        <v>1218</v>
      </c>
      <c r="F235" s="9"/>
      <c r="G235" s="9" t="s">
        <v>116</v>
      </c>
      <c r="H235" s="9" t="s">
        <v>97</v>
      </c>
      <c r="I235" s="9" t="s">
        <v>1219</v>
      </c>
      <c r="J235" s="9" t="s">
        <v>1093</v>
      </c>
      <c r="K235" s="9" t="s">
        <v>1077</v>
      </c>
      <c r="L235" s="9" t="s">
        <v>1220</v>
      </c>
      <c r="M235" s="9"/>
      <c r="N235" s="9"/>
      <c r="O235" s="11" t="s">
        <v>101</v>
      </c>
      <c r="P235" s="12">
        <v>25.560469609999998</v>
      </c>
      <c r="Q235" s="12">
        <v>-103.42193189</v>
      </c>
      <c r="R235" s="9" t="s">
        <v>1221</v>
      </c>
      <c r="S235" s="13"/>
      <c r="T235" s="13"/>
      <c r="U235" s="13"/>
    </row>
    <row r="236" spans="1:21" x14ac:dyDescent="0.3">
      <c r="A236" s="9">
        <v>235</v>
      </c>
      <c r="B236" s="9" t="s">
        <v>39</v>
      </c>
      <c r="C236" s="9" t="s">
        <v>39</v>
      </c>
      <c r="D236" s="9" t="s">
        <v>39</v>
      </c>
      <c r="E236" s="9" t="s">
        <v>1222</v>
      </c>
      <c r="F236" s="9"/>
      <c r="G236" s="9" t="s">
        <v>104</v>
      </c>
      <c r="H236" s="9" t="s">
        <v>97</v>
      </c>
      <c r="I236" s="9" t="s">
        <v>1223</v>
      </c>
      <c r="J236" s="9" t="s">
        <v>1224</v>
      </c>
      <c r="K236" s="9" t="s">
        <v>1225</v>
      </c>
      <c r="L236" s="9" t="s">
        <v>1226</v>
      </c>
      <c r="M236" s="9"/>
      <c r="N236" s="9"/>
      <c r="O236" s="11" t="s">
        <v>101</v>
      </c>
      <c r="P236" s="12">
        <v>25.546969440000002</v>
      </c>
      <c r="Q236" s="12">
        <v>-103.34127997</v>
      </c>
      <c r="R236" s="9" t="s">
        <v>1227</v>
      </c>
      <c r="S236" s="13"/>
      <c r="T236" s="13"/>
      <c r="U236" s="13"/>
    </row>
    <row r="237" spans="1:21" x14ac:dyDescent="0.3">
      <c r="A237" s="9">
        <v>236</v>
      </c>
      <c r="B237" s="9" t="s">
        <v>39</v>
      </c>
      <c r="C237" s="9" t="s">
        <v>39</v>
      </c>
      <c r="D237" s="9" t="s">
        <v>39</v>
      </c>
      <c r="E237" s="9" t="s">
        <v>1228</v>
      </c>
      <c r="F237" s="9"/>
      <c r="G237" s="9" t="s">
        <v>569</v>
      </c>
      <c r="H237" s="9" t="s">
        <v>97</v>
      </c>
      <c r="I237" s="9" t="s">
        <v>1229</v>
      </c>
      <c r="J237" s="9" t="s">
        <v>1230</v>
      </c>
      <c r="K237" s="9" t="s">
        <v>1116</v>
      </c>
      <c r="L237" s="9" t="s">
        <v>1231</v>
      </c>
      <c r="M237" s="9"/>
      <c r="N237" s="9"/>
      <c r="O237" s="11" t="s">
        <v>101</v>
      </c>
      <c r="P237" s="12">
        <v>25.620190439999998</v>
      </c>
      <c r="Q237" s="12">
        <v>-103.39144607999999</v>
      </c>
      <c r="R237" s="9" t="s">
        <v>1232</v>
      </c>
      <c r="S237" s="13"/>
      <c r="T237" s="13"/>
      <c r="U237" s="13"/>
    </row>
    <row r="238" spans="1:21" x14ac:dyDescent="0.3">
      <c r="A238" s="9">
        <v>237</v>
      </c>
      <c r="B238" s="9" t="s">
        <v>39</v>
      </c>
      <c r="C238" s="9" t="s">
        <v>39</v>
      </c>
      <c r="D238" s="9" t="s">
        <v>39</v>
      </c>
      <c r="E238" s="9" t="s">
        <v>1233</v>
      </c>
      <c r="F238" s="9" t="s">
        <v>1234</v>
      </c>
      <c r="G238" s="9" t="s">
        <v>104</v>
      </c>
      <c r="H238" s="9" t="s">
        <v>97</v>
      </c>
      <c r="I238" s="9" t="s">
        <v>1235</v>
      </c>
      <c r="J238" s="9" t="s">
        <v>1041</v>
      </c>
      <c r="K238" s="9" t="s">
        <v>1082</v>
      </c>
      <c r="L238" s="9"/>
      <c r="M238" s="9"/>
      <c r="N238" s="9"/>
      <c r="O238" s="11" t="s">
        <v>101</v>
      </c>
      <c r="P238" s="12">
        <v>25.54386714</v>
      </c>
      <c r="Q238" s="12">
        <v>-103.4463757</v>
      </c>
      <c r="R238" s="9" t="s">
        <v>1236</v>
      </c>
      <c r="S238" s="13"/>
      <c r="T238" s="13"/>
      <c r="U238" s="13"/>
    </row>
    <row r="239" spans="1:21" x14ac:dyDescent="0.3">
      <c r="A239" s="9">
        <v>238</v>
      </c>
      <c r="B239" s="9" t="s">
        <v>39</v>
      </c>
      <c r="C239" s="9" t="s">
        <v>39</v>
      </c>
      <c r="D239" s="9" t="s">
        <v>39</v>
      </c>
      <c r="E239" s="9" t="s">
        <v>1237</v>
      </c>
      <c r="F239" s="9"/>
      <c r="G239" s="9" t="s">
        <v>104</v>
      </c>
      <c r="H239" s="9" t="s">
        <v>97</v>
      </c>
      <c r="I239" s="9" t="s">
        <v>1238</v>
      </c>
      <c r="J239" s="9" t="s">
        <v>1109</v>
      </c>
      <c r="K239" s="9" t="s">
        <v>1110</v>
      </c>
      <c r="L239" s="9" t="s">
        <v>1239</v>
      </c>
      <c r="M239" s="9"/>
      <c r="N239" s="9"/>
      <c r="O239" s="11" t="s">
        <v>101</v>
      </c>
      <c r="P239" s="12">
        <v>25.569494330000001</v>
      </c>
      <c r="Q239" s="12">
        <v>-103.4384816</v>
      </c>
      <c r="R239" s="9" t="s">
        <v>1240</v>
      </c>
      <c r="S239" s="13"/>
      <c r="T239" s="13"/>
      <c r="U239" s="13"/>
    </row>
    <row r="240" spans="1:21" x14ac:dyDescent="0.3">
      <c r="A240" s="9">
        <v>239</v>
      </c>
      <c r="B240" s="9" t="s">
        <v>39</v>
      </c>
      <c r="C240" s="9" t="s">
        <v>39</v>
      </c>
      <c r="D240" s="9" t="s">
        <v>39</v>
      </c>
      <c r="E240" s="9" t="s">
        <v>1241</v>
      </c>
      <c r="F240" s="9" t="s">
        <v>1242</v>
      </c>
      <c r="G240" s="9" t="s">
        <v>569</v>
      </c>
      <c r="H240" s="9" t="s">
        <v>97</v>
      </c>
      <c r="I240" s="9" t="s">
        <v>1243</v>
      </c>
      <c r="J240" s="9" t="s">
        <v>1093</v>
      </c>
      <c r="K240" s="9" t="s">
        <v>1077</v>
      </c>
      <c r="L240" s="9" t="s">
        <v>1244</v>
      </c>
      <c r="M240" s="9"/>
      <c r="N240" s="9"/>
      <c r="O240" s="11" t="s">
        <v>101</v>
      </c>
      <c r="P240" s="12">
        <v>25.569728189999999</v>
      </c>
      <c r="Q240" s="12">
        <v>-103.42196835999999</v>
      </c>
      <c r="R240" s="9" t="s">
        <v>1245</v>
      </c>
      <c r="S240" s="13"/>
      <c r="T240" s="13"/>
      <c r="U240" s="13"/>
    </row>
    <row r="241" spans="1:21" x14ac:dyDescent="0.3">
      <c r="A241" s="9">
        <v>240</v>
      </c>
      <c r="B241" s="9" t="s">
        <v>39</v>
      </c>
      <c r="C241" s="9" t="s">
        <v>39</v>
      </c>
      <c r="D241" s="9" t="s">
        <v>39</v>
      </c>
      <c r="E241" s="9" t="s">
        <v>1246</v>
      </c>
      <c r="F241" s="9"/>
      <c r="G241" s="9" t="s">
        <v>104</v>
      </c>
      <c r="H241" s="9" t="s">
        <v>97</v>
      </c>
      <c r="I241" s="9" t="s">
        <v>1247</v>
      </c>
      <c r="J241" s="9" t="s">
        <v>1248</v>
      </c>
      <c r="K241" s="9" t="s">
        <v>1249</v>
      </c>
      <c r="L241" s="9"/>
      <c r="M241" s="9"/>
      <c r="N241" s="9"/>
      <c r="O241" s="11" t="s">
        <v>101</v>
      </c>
      <c r="P241" s="12">
        <v>25.548430530000001</v>
      </c>
      <c r="Q241" s="12">
        <v>-103.45942110999999</v>
      </c>
      <c r="R241" s="9" t="s">
        <v>1250</v>
      </c>
      <c r="S241" s="13"/>
      <c r="T241" s="13"/>
      <c r="U241" s="13"/>
    </row>
    <row r="242" spans="1:21" x14ac:dyDescent="0.3">
      <c r="A242" s="9">
        <v>241</v>
      </c>
      <c r="B242" s="9" t="s">
        <v>39</v>
      </c>
      <c r="C242" s="9" t="s">
        <v>39</v>
      </c>
      <c r="D242" s="9" t="s">
        <v>39</v>
      </c>
      <c r="E242" s="9" t="s">
        <v>1251</v>
      </c>
      <c r="F242" s="9"/>
      <c r="G242" s="9" t="s">
        <v>96</v>
      </c>
      <c r="H242" s="9" t="s">
        <v>97</v>
      </c>
      <c r="I242" s="9" t="s">
        <v>1252</v>
      </c>
      <c r="J242" s="9" t="s">
        <v>1041</v>
      </c>
      <c r="K242" s="9" t="s">
        <v>1082</v>
      </c>
      <c r="L242" s="9"/>
      <c r="M242" s="9"/>
      <c r="N242" s="9"/>
      <c r="O242" s="11" t="s">
        <v>101</v>
      </c>
      <c r="P242" s="12">
        <v>25.535973179999999</v>
      </c>
      <c r="Q242" s="12">
        <v>-103.41853531</v>
      </c>
      <c r="R242" s="9" t="s">
        <v>1253</v>
      </c>
      <c r="S242" s="13"/>
      <c r="T242" s="13"/>
      <c r="U242" s="13"/>
    </row>
    <row r="243" spans="1:21" x14ac:dyDescent="0.3">
      <c r="A243" s="9">
        <v>242</v>
      </c>
      <c r="B243" s="9" t="s">
        <v>39</v>
      </c>
      <c r="C243" s="9" t="s">
        <v>39</v>
      </c>
      <c r="D243" s="9" t="s">
        <v>39</v>
      </c>
      <c r="E243" s="9" t="s">
        <v>183</v>
      </c>
      <c r="F243" s="9"/>
      <c r="G243" s="9" t="s">
        <v>104</v>
      </c>
      <c r="H243" s="9" t="s">
        <v>97</v>
      </c>
      <c r="I243" s="9" t="s">
        <v>1254</v>
      </c>
      <c r="J243" s="9" t="s">
        <v>1255</v>
      </c>
      <c r="K243" s="9" t="s">
        <v>1256</v>
      </c>
      <c r="L243" s="9"/>
      <c r="M243" s="9"/>
      <c r="N243" s="9"/>
      <c r="O243" s="11" t="s">
        <v>101</v>
      </c>
      <c r="P243" s="12">
        <v>25.540305620000002</v>
      </c>
      <c r="Q243" s="12">
        <v>-103.39347563</v>
      </c>
      <c r="R243" s="9" t="s">
        <v>1257</v>
      </c>
      <c r="S243" s="13"/>
      <c r="T243" s="13"/>
      <c r="U243" s="13"/>
    </row>
    <row r="244" spans="1:21" x14ac:dyDescent="0.3">
      <c r="A244" s="9">
        <v>243</v>
      </c>
      <c r="B244" s="9" t="s">
        <v>39</v>
      </c>
      <c r="C244" s="9" t="s">
        <v>39</v>
      </c>
      <c r="D244" s="9" t="s">
        <v>39</v>
      </c>
      <c r="E244" s="9" t="s">
        <v>187</v>
      </c>
      <c r="F244" s="9"/>
      <c r="G244" s="9" t="s">
        <v>104</v>
      </c>
      <c r="H244" s="9" t="s">
        <v>97</v>
      </c>
      <c r="I244" s="9" t="s">
        <v>1258</v>
      </c>
      <c r="J244" s="9" t="s">
        <v>1041</v>
      </c>
      <c r="K244" s="9" t="s">
        <v>1082</v>
      </c>
      <c r="L244" s="9" t="s">
        <v>1259</v>
      </c>
      <c r="M244" s="9"/>
      <c r="N244" s="9"/>
      <c r="O244" s="11" t="s">
        <v>101</v>
      </c>
      <c r="P244" s="12">
        <v>25.538770379999999</v>
      </c>
      <c r="Q244" s="12">
        <v>-103.46710991</v>
      </c>
      <c r="R244" s="9" t="s">
        <v>1260</v>
      </c>
      <c r="S244" s="13"/>
      <c r="T244" s="13"/>
      <c r="U244" s="13"/>
    </row>
    <row r="245" spans="1:21" x14ac:dyDescent="0.3">
      <c r="A245" s="9">
        <v>244</v>
      </c>
      <c r="B245" s="9" t="s">
        <v>39</v>
      </c>
      <c r="C245" s="9" t="s">
        <v>39</v>
      </c>
      <c r="D245" s="9" t="s">
        <v>39</v>
      </c>
      <c r="E245" s="9" t="s">
        <v>187</v>
      </c>
      <c r="F245" s="9"/>
      <c r="G245" s="9" t="s">
        <v>104</v>
      </c>
      <c r="H245" s="9" t="s">
        <v>97</v>
      </c>
      <c r="I245" s="9" t="s">
        <v>1261</v>
      </c>
      <c r="J245" s="9" t="s">
        <v>1207</v>
      </c>
      <c r="K245" s="9" t="s">
        <v>1208</v>
      </c>
      <c r="L245" s="9"/>
      <c r="M245" s="9"/>
      <c r="N245" s="9"/>
      <c r="O245" s="11" t="s">
        <v>101</v>
      </c>
      <c r="P245" s="12">
        <v>25.540689270000001</v>
      </c>
      <c r="Q245" s="12">
        <v>-103.38526948000001</v>
      </c>
      <c r="R245" s="9" t="s">
        <v>1262</v>
      </c>
      <c r="S245" s="13"/>
      <c r="T245" s="13"/>
      <c r="U245" s="13"/>
    </row>
    <row r="246" spans="1:21" x14ac:dyDescent="0.3">
      <c r="A246" s="9">
        <v>245</v>
      </c>
      <c r="B246" s="9" t="s">
        <v>39</v>
      </c>
      <c r="C246" s="9" t="s">
        <v>39</v>
      </c>
      <c r="D246" s="9" t="s">
        <v>39</v>
      </c>
      <c r="E246" s="9" t="s">
        <v>187</v>
      </c>
      <c r="F246" s="9"/>
      <c r="G246" s="9" t="s">
        <v>104</v>
      </c>
      <c r="H246" s="9" t="s">
        <v>97</v>
      </c>
      <c r="I246" s="9" t="s">
        <v>1263</v>
      </c>
      <c r="J246" s="9" t="s">
        <v>1264</v>
      </c>
      <c r="K246" s="9" t="s">
        <v>1265</v>
      </c>
      <c r="L246" s="9" t="s">
        <v>1266</v>
      </c>
      <c r="M246" s="9"/>
      <c r="N246" s="9"/>
      <c r="O246" s="11" t="s">
        <v>101</v>
      </c>
      <c r="P246" s="12">
        <v>25.545878779999999</v>
      </c>
      <c r="Q246" s="12">
        <v>-103.32634483</v>
      </c>
      <c r="R246" s="9" t="s">
        <v>1267</v>
      </c>
      <c r="S246" s="13"/>
      <c r="T246" s="13"/>
      <c r="U246" s="13"/>
    </row>
    <row r="247" spans="1:21" x14ac:dyDescent="0.3">
      <c r="A247" s="9">
        <v>246</v>
      </c>
      <c r="B247" s="9" t="s">
        <v>39</v>
      </c>
      <c r="C247" s="9" t="s">
        <v>39</v>
      </c>
      <c r="D247" s="9" t="s">
        <v>39</v>
      </c>
      <c r="E247" s="9" t="s">
        <v>1268</v>
      </c>
      <c r="F247" s="9"/>
      <c r="G247" s="9" t="s">
        <v>104</v>
      </c>
      <c r="H247" s="9" t="s">
        <v>97</v>
      </c>
      <c r="I247" s="9" t="s">
        <v>1269</v>
      </c>
      <c r="J247" s="9" t="s">
        <v>1041</v>
      </c>
      <c r="K247" s="9" t="s">
        <v>1082</v>
      </c>
      <c r="L247" s="9" t="s">
        <v>1270</v>
      </c>
      <c r="M247" s="9"/>
      <c r="N247" s="9"/>
      <c r="O247" s="11" t="s">
        <v>101</v>
      </c>
      <c r="P247" s="12">
        <v>25.540261990000001</v>
      </c>
      <c r="Q247" s="12">
        <v>-103.42594999000001</v>
      </c>
      <c r="R247" s="9" t="s">
        <v>1271</v>
      </c>
      <c r="S247" s="13"/>
      <c r="T247" s="13"/>
      <c r="U247" s="13"/>
    </row>
    <row r="248" spans="1:21" x14ac:dyDescent="0.3">
      <c r="A248" s="9">
        <v>247</v>
      </c>
      <c r="B248" s="9" t="s">
        <v>39</v>
      </c>
      <c r="C248" s="9" t="s">
        <v>39</v>
      </c>
      <c r="D248" s="9" t="s">
        <v>39</v>
      </c>
      <c r="E248" s="9" t="s">
        <v>1272</v>
      </c>
      <c r="F248" s="9"/>
      <c r="G248" s="9" t="s">
        <v>104</v>
      </c>
      <c r="H248" s="9" t="s">
        <v>97</v>
      </c>
      <c r="I248" s="9" t="s">
        <v>1273</v>
      </c>
      <c r="J248" s="9" t="s">
        <v>1274</v>
      </c>
      <c r="K248" s="9" t="s">
        <v>1275</v>
      </c>
      <c r="L248" s="9" t="s">
        <v>1276</v>
      </c>
      <c r="M248" s="9"/>
      <c r="N248" s="9"/>
      <c r="O248" s="11" t="s">
        <v>101</v>
      </c>
      <c r="P248" s="12">
        <v>25.535924059999999</v>
      </c>
      <c r="Q248" s="12">
        <v>-103.38420953000001</v>
      </c>
      <c r="R248" s="9" t="s">
        <v>1277</v>
      </c>
      <c r="S248" s="13"/>
      <c r="T248" s="13"/>
      <c r="U248" s="13"/>
    </row>
    <row r="249" spans="1:21" x14ac:dyDescent="0.3">
      <c r="A249" s="9">
        <v>248</v>
      </c>
      <c r="B249" s="9" t="s">
        <v>39</v>
      </c>
      <c r="C249" s="9" t="s">
        <v>39</v>
      </c>
      <c r="D249" s="9" t="s">
        <v>39</v>
      </c>
      <c r="E249" s="9" t="s">
        <v>1278</v>
      </c>
      <c r="F249" s="9"/>
      <c r="G249" s="9" t="s">
        <v>104</v>
      </c>
      <c r="H249" s="9" t="s">
        <v>97</v>
      </c>
      <c r="I249" s="9" t="s">
        <v>1279</v>
      </c>
      <c r="J249" s="9" t="s">
        <v>1280</v>
      </c>
      <c r="K249" s="9" t="s">
        <v>1281</v>
      </c>
      <c r="L249" s="9" t="s">
        <v>1282</v>
      </c>
      <c r="M249" s="9"/>
      <c r="N249" s="9"/>
      <c r="O249" s="11" t="s">
        <v>101</v>
      </c>
      <c r="P249" s="12">
        <v>25.57611619</v>
      </c>
      <c r="Q249" s="12">
        <v>-103.37890362</v>
      </c>
      <c r="R249" s="9" t="s">
        <v>1283</v>
      </c>
      <c r="S249" s="13"/>
      <c r="T249" s="13"/>
      <c r="U249" s="13"/>
    </row>
    <row r="250" spans="1:21" x14ac:dyDescent="0.3">
      <c r="A250" s="9">
        <v>249</v>
      </c>
      <c r="B250" s="9" t="s">
        <v>39</v>
      </c>
      <c r="C250" s="9" t="s">
        <v>39</v>
      </c>
      <c r="D250" s="9" t="s">
        <v>39</v>
      </c>
      <c r="E250" s="9" t="s">
        <v>1284</v>
      </c>
      <c r="F250" s="9"/>
      <c r="G250" s="9" t="s">
        <v>104</v>
      </c>
      <c r="H250" s="9" t="s">
        <v>97</v>
      </c>
      <c r="I250" s="9" t="s">
        <v>1285</v>
      </c>
      <c r="J250" s="9" t="s">
        <v>1163</v>
      </c>
      <c r="K250" s="9" t="s">
        <v>1110</v>
      </c>
      <c r="L250" s="9"/>
      <c r="M250" s="9"/>
      <c r="N250" s="9"/>
      <c r="O250" s="11" t="s">
        <v>101</v>
      </c>
      <c r="P250" s="12">
        <v>25.571716909999999</v>
      </c>
      <c r="Q250" s="12">
        <v>-103.44283009</v>
      </c>
      <c r="R250" s="9" t="s">
        <v>1286</v>
      </c>
      <c r="S250" s="13"/>
      <c r="T250" s="13"/>
      <c r="U250" s="13"/>
    </row>
    <row r="251" spans="1:21" x14ac:dyDescent="0.3">
      <c r="A251" s="9">
        <v>250</v>
      </c>
      <c r="B251" s="9" t="s">
        <v>39</v>
      </c>
      <c r="C251" s="9" t="s">
        <v>39</v>
      </c>
      <c r="D251" s="9" t="s">
        <v>39</v>
      </c>
      <c r="E251" s="9" t="s">
        <v>1287</v>
      </c>
      <c r="F251" s="9"/>
      <c r="G251" s="9" t="s">
        <v>104</v>
      </c>
      <c r="H251" s="9" t="s">
        <v>97</v>
      </c>
      <c r="I251" s="9" t="s">
        <v>1288</v>
      </c>
      <c r="J251" s="9" t="s">
        <v>1289</v>
      </c>
      <c r="K251" s="9" t="s">
        <v>1290</v>
      </c>
      <c r="L251" s="9" t="s">
        <v>1291</v>
      </c>
      <c r="M251" s="9"/>
      <c r="N251" s="9"/>
      <c r="O251" s="11" t="s">
        <v>101</v>
      </c>
      <c r="P251" s="12">
        <v>25.521877190000001</v>
      </c>
      <c r="Q251" s="12">
        <v>-103.3907677</v>
      </c>
      <c r="R251" s="9" t="s">
        <v>1292</v>
      </c>
      <c r="S251" s="13"/>
      <c r="T251" s="13"/>
      <c r="U251" s="13"/>
    </row>
    <row r="252" spans="1:21" x14ac:dyDescent="0.3">
      <c r="A252" s="9">
        <v>251</v>
      </c>
      <c r="B252" s="9" t="s">
        <v>39</v>
      </c>
      <c r="C252" s="9" t="s">
        <v>39</v>
      </c>
      <c r="D252" s="9" t="s">
        <v>39</v>
      </c>
      <c r="E252" s="9" t="s">
        <v>1293</v>
      </c>
      <c r="F252" s="9"/>
      <c r="G252" s="9" t="s">
        <v>104</v>
      </c>
      <c r="H252" s="9" t="s">
        <v>97</v>
      </c>
      <c r="I252" s="9" t="s">
        <v>1294</v>
      </c>
      <c r="J252" s="9" t="s">
        <v>1295</v>
      </c>
      <c r="K252" s="9" t="s">
        <v>1116</v>
      </c>
      <c r="L252" s="9" t="s">
        <v>1296</v>
      </c>
      <c r="M252" s="9" t="s">
        <v>1297</v>
      </c>
      <c r="N252" s="9"/>
      <c r="O252" s="11" t="s">
        <v>101</v>
      </c>
      <c r="P252" s="12">
        <v>25.624260490000001</v>
      </c>
      <c r="Q252" s="12">
        <v>-103.37670540000001</v>
      </c>
      <c r="R252" s="9" t="s">
        <v>1298</v>
      </c>
      <c r="S252" s="13"/>
      <c r="T252" s="13"/>
      <c r="U252" s="13"/>
    </row>
    <row r="253" spans="1:21" x14ac:dyDescent="0.3">
      <c r="A253" s="9">
        <v>252</v>
      </c>
      <c r="B253" s="9" t="s">
        <v>39</v>
      </c>
      <c r="C253" s="9" t="s">
        <v>39</v>
      </c>
      <c r="D253" s="9" t="s">
        <v>39</v>
      </c>
      <c r="E253" s="9" t="s">
        <v>1299</v>
      </c>
      <c r="F253" s="9"/>
      <c r="G253" s="9" t="s">
        <v>104</v>
      </c>
      <c r="H253" s="9" t="s">
        <v>97</v>
      </c>
      <c r="I253" s="9" t="s">
        <v>1300</v>
      </c>
      <c r="J253" s="9" t="s">
        <v>1301</v>
      </c>
      <c r="K253" s="9" t="s">
        <v>1302</v>
      </c>
      <c r="L253" s="9" t="s">
        <v>1303</v>
      </c>
      <c r="M253" s="9" t="s">
        <v>1304</v>
      </c>
      <c r="N253" s="9"/>
      <c r="O253" s="11" t="s">
        <v>101</v>
      </c>
      <c r="P253" s="12">
        <v>25.52778387</v>
      </c>
      <c r="Q253" s="12">
        <v>-103.39847777</v>
      </c>
      <c r="R253" s="9" t="s">
        <v>1305</v>
      </c>
      <c r="S253" s="13"/>
      <c r="T253" s="13"/>
      <c r="U253" s="13"/>
    </row>
    <row r="254" spans="1:21" x14ac:dyDescent="0.3">
      <c r="A254" s="9">
        <v>253</v>
      </c>
      <c r="B254" s="9" t="s">
        <v>39</v>
      </c>
      <c r="C254" s="9" t="s">
        <v>39</v>
      </c>
      <c r="D254" s="9" t="s">
        <v>39</v>
      </c>
      <c r="E254" s="9" t="s">
        <v>1306</v>
      </c>
      <c r="F254" s="9"/>
      <c r="G254" s="9" t="s">
        <v>104</v>
      </c>
      <c r="H254" s="9" t="s">
        <v>97</v>
      </c>
      <c r="I254" s="9" t="s">
        <v>1307</v>
      </c>
      <c r="J254" s="9" t="s">
        <v>1308</v>
      </c>
      <c r="K254" s="9" t="s">
        <v>1256</v>
      </c>
      <c r="L254" s="9" t="s">
        <v>1309</v>
      </c>
      <c r="M254" s="9"/>
      <c r="N254" s="9"/>
      <c r="O254" s="11" t="s">
        <v>101</v>
      </c>
      <c r="P254" s="12">
        <v>25.536426850000002</v>
      </c>
      <c r="Q254" s="12">
        <v>-103.39613074</v>
      </c>
      <c r="R254" s="9" t="s">
        <v>1310</v>
      </c>
      <c r="S254" s="13"/>
      <c r="T254" s="13"/>
      <c r="U254" s="13"/>
    </row>
    <row r="255" spans="1:21" x14ac:dyDescent="0.3">
      <c r="A255" s="9">
        <v>254</v>
      </c>
      <c r="B255" s="9" t="s">
        <v>39</v>
      </c>
      <c r="C255" s="9" t="s">
        <v>39</v>
      </c>
      <c r="D255" s="9" t="s">
        <v>39</v>
      </c>
      <c r="E255" s="9" t="s">
        <v>1311</v>
      </c>
      <c r="F255" s="9" t="s">
        <v>1311</v>
      </c>
      <c r="G255" s="9" t="s">
        <v>104</v>
      </c>
      <c r="H255" s="9" t="s">
        <v>97</v>
      </c>
      <c r="I255" s="9" t="s">
        <v>1312</v>
      </c>
      <c r="J255" s="9" t="s">
        <v>1313</v>
      </c>
      <c r="K255" s="9" t="s">
        <v>1213</v>
      </c>
      <c r="L255" s="9"/>
      <c r="M255" s="9"/>
      <c r="N255" s="9"/>
      <c r="O255" s="11" t="s">
        <v>101</v>
      </c>
      <c r="P255" s="12">
        <v>25.539776069999998</v>
      </c>
      <c r="Q255" s="12">
        <v>-103.35155422</v>
      </c>
      <c r="R255" s="9" t="s">
        <v>1314</v>
      </c>
      <c r="S255" s="13"/>
      <c r="T255" s="13"/>
      <c r="U255" s="13"/>
    </row>
    <row r="256" spans="1:21" x14ac:dyDescent="0.3">
      <c r="A256" s="9">
        <v>255</v>
      </c>
      <c r="B256" s="9" t="s">
        <v>39</v>
      </c>
      <c r="C256" s="9" t="s">
        <v>39</v>
      </c>
      <c r="D256" s="9" t="s">
        <v>39</v>
      </c>
      <c r="E256" s="9" t="s">
        <v>875</v>
      </c>
      <c r="F256" s="9"/>
      <c r="G256" s="9" t="s">
        <v>104</v>
      </c>
      <c r="H256" s="9" t="s">
        <v>438</v>
      </c>
      <c r="I256" s="9" t="s">
        <v>1315</v>
      </c>
      <c r="J256" s="9" t="s">
        <v>1316</v>
      </c>
      <c r="K256" s="9" t="s">
        <v>1317</v>
      </c>
      <c r="L256" s="9"/>
      <c r="M256" s="9"/>
      <c r="N256" s="9"/>
      <c r="O256" s="11" t="s">
        <v>101</v>
      </c>
      <c r="P256" s="12">
        <v>25.515401229999998</v>
      </c>
      <c r="Q256" s="12">
        <v>-103.41387775</v>
      </c>
      <c r="R256" s="9" t="s">
        <v>1318</v>
      </c>
      <c r="S256" s="13"/>
      <c r="T256" s="13"/>
      <c r="U256" s="13"/>
    </row>
    <row r="257" spans="1:21" x14ac:dyDescent="0.3">
      <c r="A257" s="9">
        <v>256</v>
      </c>
      <c r="B257" s="9" t="s">
        <v>39</v>
      </c>
      <c r="C257" s="9" t="s">
        <v>39</v>
      </c>
      <c r="D257" s="9" t="s">
        <v>39</v>
      </c>
      <c r="E257" s="9" t="s">
        <v>1319</v>
      </c>
      <c r="F257" s="9"/>
      <c r="G257" s="9" t="s">
        <v>104</v>
      </c>
      <c r="H257" s="9" t="s">
        <v>97</v>
      </c>
      <c r="I257" s="9" t="s">
        <v>1320</v>
      </c>
      <c r="J257" s="9" t="s">
        <v>1321</v>
      </c>
      <c r="K257" s="9" t="s">
        <v>1322</v>
      </c>
      <c r="L257" s="9"/>
      <c r="M257" s="9"/>
      <c r="N257" s="9"/>
      <c r="O257" s="11" t="s">
        <v>101</v>
      </c>
      <c r="P257" s="12">
        <v>25.548931240000002</v>
      </c>
      <c r="Q257" s="12">
        <v>-103.35498627</v>
      </c>
      <c r="R257" s="9" t="s">
        <v>1323</v>
      </c>
      <c r="S257" s="13"/>
      <c r="T257" s="13"/>
      <c r="U257" s="13"/>
    </row>
    <row r="258" spans="1:21" x14ac:dyDescent="0.3">
      <c r="A258" s="9">
        <v>257</v>
      </c>
      <c r="B258" s="9" t="s">
        <v>39</v>
      </c>
      <c r="C258" s="9" t="s">
        <v>39</v>
      </c>
      <c r="D258" s="9" t="s">
        <v>39</v>
      </c>
      <c r="E258" s="9" t="s">
        <v>1324</v>
      </c>
      <c r="F258" s="9"/>
      <c r="G258" s="9" t="s">
        <v>104</v>
      </c>
      <c r="H258" s="9" t="s">
        <v>97</v>
      </c>
      <c r="I258" s="9" t="s">
        <v>1325</v>
      </c>
      <c r="J258" s="9" t="s">
        <v>1326</v>
      </c>
      <c r="K258" s="9" t="s">
        <v>1116</v>
      </c>
      <c r="L258" s="9" t="s">
        <v>1327</v>
      </c>
      <c r="M258" s="9"/>
      <c r="N258" s="9"/>
      <c r="O258" s="11" t="s">
        <v>101</v>
      </c>
      <c r="P258" s="12">
        <v>25.61188044</v>
      </c>
      <c r="Q258" s="12">
        <v>-103.38899435</v>
      </c>
      <c r="R258" s="9" t="s">
        <v>1328</v>
      </c>
      <c r="S258" s="13"/>
      <c r="T258" s="13"/>
      <c r="U258" s="13"/>
    </row>
    <row r="259" spans="1:21" x14ac:dyDescent="0.3">
      <c r="A259" s="9">
        <v>258</v>
      </c>
      <c r="B259" s="9" t="s">
        <v>39</v>
      </c>
      <c r="C259" s="9" t="s">
        <v>39</v>
      </c>
      <c r="D259" s="9" t="s">
        <v>39</v>
      </c>
      <c r="E259" s="9" t="s">
        <v>1329</v>
      </c>
      <c r="F259" s="9"/>
      <c r="G259" s="9" t="s">
        <v>104</v>
      </c>
      <c r="H259" s="9" t="s">
        <v>97</v>
      </c>
      <c r="I259" s="9" t="s">
        <v>1330</v>
      </c>
      <c r="J259" s="9" t="s">
        <v>1103</v>
      </c>
      <c r="K259" s="9" t="s">
        <v>1104</v>
      </c>
      <c r="L259" s="9" t="s">
        <v>1331</v>
      </c>
      <c r="M259" s="9" t="s">
        <v>1332</v>
      </c>
      <c r="N259" s="9"/>
      <c r="O259" s="11" t="s">
        <v>101</v>
      </c>
      <c r="P259" s="12">
        <v>25.522801860000001</v>
      </c>
      <c r="Q259" s="12">
        <v>-103.40155403</v>
      </c>
      <c r="R259" s="9" t="s">
        <v>1333</v>
      </c>
      <c r="S259" s="13"/>
      <c r="T259" s="13"/>
      <c r="U259" s="13"/>
    </row>
    <row r="260" spans="1:21" x14ac:dyDescent="0.3">
      <c r="A260" s="9">
        <v>259</v>
      </c>
      <c r="B260" s="9" t="s">
        <v>39</v>
      </c>
      <c r="C260" s="9" t="s">
        <v>39</v>
      </c>
      <c r="D260" s="9" t="s">
        <v>39</v>
      </c>
      <c r="E260" s="9" t="s">
        <v>1334</v>
      </c>
      <c r="F260" s="9" t="s">
        <v>1335</v>
      </c>
      <c r="G260" s="9" t="s">
        <v>104</v>
      </c>
      <c r="H260" s="9" t="s">
        <v>97</v>
      </c>
      <c r="I260" s="9" t="s">
        <v>1336</v>
      </c>
      <c r="J260" s="9" t="s">
        <v>1308</v>
      </c>
      <c r="K260" s="9" t="s">
        <v>1208</v>
      </c>
      <c r="L260" s="9" t="s">
        <v>1337</v>
      </c>
      <c r="M260" s="9"/>
      <c r="N260" s="9"/>
      <c r="O260" s="11" t="s">
        <v>101</v>
      </c>
      <c r="P260" s="12">
        <v>25.540519660000001</v>
      </c>
      <c r="Q260" s="12">
        <v>-103.38873273</v>
      </c>
      <c r="R260" s="9" t="s">
        <v>1338</v>
      </c>
      <c r="S260" s="13"/>
      <c r="T260" s="13"/>
      <c r="U260" s="13"/>
    </row>
    <row r="261" spans="1:21" x14ac:dyDescent="0.3">
      <c r="A261" s="9">
        <v>260</v>
      </c>
      <c r="B261" s="9" t="s">
        <v>39</v>
      </c>
      <c r="C261" s="9" t="s">
        <v>39</v>
      </c>
      <c r="D261" s="9" t="s">
        <v>39</v>
      </c>
      <c r="E261" s="9" t="s">
        <v>1339</v>
      </c>
      <c r="F261" s="9"/>
      <c r="G261" s="9" t="s">
        <v>104</v>
      </c>
      <c r="H261" s="9" t="s">
        <v>97</v>
      </c>
      <c r="I261" s="9" t="s">
        <v>1340</v>
      </c>
      <c r="J261" s="9" t="s">
        <v>1041</v>
      </c>
      <c r="K261" s="9" t="s">
        <v>1082</v>
      </c>
      <c r="L261" s="9" t="s">
        <v>1341</v>
      </c>
      <c r="M261" s="9"/>
      <c r="N261" s="9"/>
      <c r="O261" s="11" t="s">
        <v>101</v>
      </c>
      <c r="P261" s="12">
        <v>25.548729309999999</v>
      </c>
      <c r="Q261" s="12">
        <v>-103.43939327</v>
      </c>
      <c r="R261" s="9" t="s">
        <v>1342</v>
      </c>
      <c r="S261" s="13"/>
      <c r="T261" s="13"/>
      <c r="U261" s="13"/>
    </row>
    <row r="262" spans="1:21" x14ac:dyDescent="0.3">
      <c r="A262" s="9">
        <v>261</v>
      </c>
      <c r="B262" s="9" t="s">
        <v>39</v>
      </c>
      <c r="C262" s="9" t="s">
        <v>39</v>
      </c>
      <c r="D262" s="9" t="s">
        <v>39</v>
      </c>
      <c r="E262" s="9" t="s">
        <v>1343</v>
      </c>
      <c r="F262" s="9"/>
      <c r="G262" s="9" t="s">
        <v>104</v>
      </c>
      <c r="H262" s="9" t="s">
        <v>438</v>
      </c>
      <c r="I262" s="9" t="s">
        <v>1344</v>
      </c>
      <c r="J262" s="9" t="s">
        <v>1345</v>
      </c>
      <c r="K262" s="9" t="s">
        <v>1290</v>
      </c>
      <c r="L262" s="9" t="s">
        <v>1346</v>
      </c>
      <c r="M262" s="9"/>
      <c r="N262" s="9"/>
      <c r="O262" s="11" t="s">
        <v>101</v>
      </c>
      <c r="P262" s="12">
        <v>25.516862629999999</v>
      </c>
      <c r="Q262" s="12">
        <v>-103.39038094999999</v>
      </c>
      <c r="R262" s="9" t="s">
        <v>1347</v>
      </c>
      <c r="S262" s="13"/>
      <c r="T262" s="13"/>
      <c r="U262" s="13"/>
    </row>
    <row r="263" spans="1:21" x14ac:dyDescent="0.3">
      <c r="A263" s="9">
        <v>262</v>
      </c>
      <c r="B263" s="9" t="s">
        <v>39</v>
      </c>
      <c r="C263" s="9" t="s">
        <v>39</v>
      </c>
      <c r="D263" s="9" t="s">
        <v>39</v>
      </c>
      <c r="E263" s="9" t="s">
        <v>1348</v>
      </c>
      <c r="F263" s="9"/>
      <c r="G263" s="9" t="s">
        <v>104</v>
      </c>
      <c r="H263" s="9" t="s">
        <v>97</v>
      </c>
      <c r="I263" s="9" t="s">
        <v>1349</v>
      </c>
      <c r="J263" s="9" t="s">
        <v>1295</v>
      </c>
      <c r="K263" s="9" t="s">
        <v>1116</v>
      </c>
      <c r="L263" s="9" t="s">
        <v>1350</v>
      </c>
      <c r="M263" s="9"/>
      <c r="N263" s="9"/>
      <c r="O263" s="11" t="s">
        <v>101</v>
      </c>
      <c r="P263" s="12">
        <v>25.62423995</v>
      </c>
      <c r="Q263" s="12">
        <v>-103.37681492999999</v>
      </c>
      <c r="R263" s="9" t="s">
        <v>1351</v>
      </c>
      <c r="S263" s="13"/>
      <c r="T263" s="13"/>
      <c r="U263" s="13"/>
    </row>
    <row r="264" spans="1:21" x14ac:dyDescent="0.3">
      <c r="A264" s="9">
        <v>263</v>
      </c>
      <c r="B264" s="9" t="s">
        <v>39</v>
      </c>
      <c r="C264" s="9" t="s">
        <v>39</v>
      </c>
      <c r="D264" s="9" t="s">
        <v>39</v>
      </c>
      <c r="E264" s="9" t="s">
        <v>1352</v>
      </c>
      <c r="F264" s="9" t="s">
        <v>1353</v>
      </c>
      <c r="G264" s="9" t="s">
        <v>104</v>
      </c>
      <c r="H264" s="9" t="s">
        <v>97</v>
      </c>
      <c r="I264" s="9" t="s">
        <v>1354</v>
      </c>
      <c r="J264" s="9" t="s">
        <v>1355</v>
      </c>
      <c r="K264" s="9" t="s">
        <v>1356</v>
      </c>
      <c r="L264" s="9"/>
      <c r="M264" s="9"/>
      <c r="N264" s="9"/>
      <c r="O264" s="11" t="s">
        <v>101</v>
      </c>
      <c r="P264" s="12">
        <v>25.542224560000001</v>
      </c>
      <c r="Q264" s="12">
        <v>-103.35850507000001</v>
      </c>
      <c r="R264" s="9" t="s">
        <v>1357</v>
      </c>
      <c r="S264" s="13"/>
      <c r="T264" s="13"/>
      <c r="U264" s="13"/>
    </row>
    <row r="265" spans="1:21" x14ac:dyDescent="0.3">
      <c r="A265" s="9">
        <v>264</v>
      </c>
      <c r="B265" s="9" t="s">
        <v>39</v>
      </c>
      <c r="C265" s="9" t="s">
        <v>39</v>
      </c>
      <c r="D265" s="9" t="s">
        <v>39</v>
      </c>
      <c r="E265" s="9" t="s">
        <v>1358</v>
      </c>
      <c r="F265" s="9"/>
      <c r="G265" s="9" t="s">
        <v>104</v>
      </c>
      <c r="H265" s="9" t="s">
        <v>97</v>
      </c>
      <c r="I265" s="9" t="s">
        <v>1359</v>
      </c>
      <c r="J265" s="9" t="s">
        <v>1041</v>
      </c>
      <c r="K265" s="9" t="s">
        <v>1082</v>
      </c>
      <c r="L265" s="9" t="s">
        <v>1360</v>
      </c>
      <c r="M265" s="9"/>
      <c r="N265" s="9"/>
      <c r="O265" s="11" t="s">
        <v>101</v>
      </c>
      <c r="P265" s="12">
        <v>25.542148170000001</v>
      </c>
      <c r="Q265" s="12">
        <v>-103.42561055</v>
      </c>
      <c r="R265" s="9" t="s">
        <v>1361</v>
      </c>
      <c r="S265" s="13"/>
      <c r="T265" s="13"/>
      <c r="U265" s="13"/>
    </row>
    <row r="266" spans="1:21" x14ac:dyDescent="0.3">
      <c r="A266" s="9">
        <v>265</v>
      </c>
      <c r="B266" s="9" t="s">
        <v>39</v>
      </c>
      <c r="C266" s="9" t="s">
        <v>39</v>
      </c>
      <c r="D266" s="9" t="s">
        <v>39</v>
      </c>
      <c r="E266" s="9" t="s">
        <v>1358</v>
      </c>
      <c r="F266" s="9"/>
      <c r="G266" s="9" t="s">
        <v>104</v>
      </c>
      <c r="H266" s="9" t="s">
        <v>97</v>
      </c>
      <c r="I266" s="9" t="s">
        <v>1362</v>
      </c>
      <c r="J266" s="9" t="s">
        <v>1363</v>
      </c>
      <c r="K266" s="9" t="s">
        <v>1364</v>
      </c>
      <c r="L266" s="9"/>
      <c r="M266" s="9"/>
      <c r="N266" s="9"/>
      <c r="O266" s="11" t="s">
        <v>101</v>
      </c>
      <c r="P266" s="12">
        <v>25.511699790000002</v>
      </c>
      <c r="Q266" s="12">
        <v>-103.41665835000001</v>
      </c>
      <c r="R266" s="9" t="s">
        <v>1365</v>
      </c>
      <c r="S266" s="13"/>
      <c r="T266" s="13"/>
      <c r="U266" s="13"/>
    </row>
    <row r="267" spans="1:21" x14ac:dyDescent="0.3">
      <c r="A267" s="9">
        <v>266</v>
      </c>
      <c r="B267" s="9" t="s">
        <v>39</v>
      </c>
      <c r="C267" s="9" t="s">
        <v>39</v>
      </c>
      <c r="D267" s="9" t="s">
        <v>39</v>
      </c>
      <c r="E267" s="9" t="s">
        <v>1366</v>
      </c>
      <c r="F267" s="9"/>
      <c r="G267" s="9" t="s">
        <v>104</v>
      </c>
      <c r="H267" s="9" t="s">
        <v>97</v>
      </c>
      <c r="I267" s="9" t="s">
        <v>1367</v>
      </c>
      <c r="J267" s="9" t="s">
        <v>1326</v>
      </c>
      <c r="K267" s="9" t="s">
        <v>1116</v>
      </c>
      <c r="L267" s="9" t="s">
        <v>1368</v>
      </c>
      <c r="M267" s="9"/>
      <c r="N267" s="9"/>
      <c r="O267" s="11" t="s">
        <v>101</v>
      </c>
      <c r="P267" s="12">
        <v>25.614427379999999</v>
      </c>
      <c r="Q267" s="12">
        <v>-103.38638827</v>
      </c>
      <c r="R267" s="9" t="s">
        <v>1369</v>
      </c>
      <c r="S267" s="13"/>
      <c r="T267" s="13"/>
      <c r="U267" s="13"/>
    </row>
    <row r="268" spans="1:21" x14ac:dyDescent="0.3">
      <c r="A268" s="9">
        <v>267</v>
      </c>
      <c r="B268" s="9" t="s">
        <v>39</v>
      </c>
      <c r="C268" s="9" t="s">
        <v>39</v>
      </c>
      <c r="D268" s="9" t="s">
        <v>39</v>
      </c>
      <c r="E268" s="9" t="s">
        <v>1370</v>
      </c>
      <c r="F268" s="9"/>
      <c r="G268" s="9" t="s">
        <v>104</v>
      </c>
      <c r="H268" s="9" t="s">
        <v>97</v>
      </c>
      <c r="I268" s="9" t="s">
        <v>1371</v>
      </c>
      <c r="J268" s="9" t="s">
        <v>1372</v>
      </c>
      <c r="K268" s="9" t="s">
        <v>1169</v>
      </c>
      <c r="L268" s="9" t="s">
        <v>1373</v>
      </c>
      <c r="M268" s="9"/>
      <c r="N268" s="9"/>
      <c r="O268" s="11" t="s">
        <v>101</v>
      </c>
      <c r="P268" s="12">
        <v>25.516120170000001</v>
      </c>
      <c r="Q268" s="12">
        <v>-103.39155617999999</v>
      </c>
      <c r="R268" s="9" t="s">
        <v>1374</v>
      </c>
      <c r="S268" s="13"/>
      <c r="T268" s="13"/>
      <c r="U268" s="13"/>
    </row>
    <row r="269" spans="1:21" x14ac:dyDescent="0.3">
      <c r="A269" s="9">
        <v>268</v>
      </c>
      <c r="B269" s="9" t="s">
        <v>39</v>
      </c>
      <c r="C269" s="9" t="s">
        <v>39</v>
      </c>
      <c r="D269" s="9" t="s">
        <v>39</v>
      </c>
      <c r="E269" s="9" t="s">
        <v>1375</v>
      </c>
      <c r="F269" s="9" t="s">
        <v>1376</v>
      </c>
      <c r="G269" s="9" t="s">
        <v>104</v>
      </c>
      <c r="H269" s="9" t="s">
        <v>97</v>
      </c>
      <c r="I269" s="9" t="s">
        <v>1377</v>
      </c>
      <c r="J269" s="9" t="s">
        <v>1316</v>
      </c>
      <c r="K269" s="9" t="s">
        <v>1317</v>
      </c>
      <c r="L269" s="9"/>
      <c r="M269" s="9"/>
      <c r="N269" s="9"/>
      <c r="O269" s="11" t="s">
        <v>101</v>
      </c>
      <c r="P269" s="12">
        <v>25.517204679999999</v>
      </c>
      <c r="Q269" s="12">
        <v>-103.4171363</v>
      </c>
      <c r="R269" s="9" t="s">
        <v>1378</v>
      </c>
      <c r="S269" s="13"/>
      <c r="T269" s="13"/>
      <c r="U269" s="13"/>
    </row>
    <row r="270" spans="1:21" x14ac:dyDescent="0.3">
      <c r="A270" s="9">
        <v>269</v>
      </c>
      <c r="B270" s="9" t="s">
        <v>39</v>
      </c>
      <c r="C270" s="9" t="s">
        <v>39</v>
      </c>
      <c r="D270" s="9" t="s">
        <v>39</v>
      </c>
      <c r="E270" s="9" t="s">
        <v>1379</v>
      </c>
      <c r="F270" s="9"/>
      <c r="G270" s="9" t="s">
        <v>104</v>
      </c>
      <c r="H270" s="9" t="s">
        <v>97</v>
      </c>
      <c r="I270" s="9" t="s">
        <v>1380</v>
      </c>
      <c r="J270" s="9" t="s">
        <v>1122</v>
      </c>
      <c r="K270" s="9" t="s">
        <v>1153</v>
      </c>
      <c r="L270" s="9" t="s">
        <v>1381</v>
      </c>
      <c r="M270" s="9"/>
      <c r="N270" s="9"/>
      <c r="O270" s="11" t="s">
        <v>101</v>
      </c>
      <c r="P270" s="12">
        <v>25.516445050000002</v>
      </c>
      <c r="Q270" s="12">
        <v>-103.41523601999999</v>
      </c>
      <c r="R270" s="9" t="s">
        <v>1382</v>
      </c>
      <c r="S270" s="13"/>
      <c r="T270" s="13"/>
      <c r="U270" s="13"/>
    </row>
    <row r="271" spans="1:21" x14ac:dyDescent="0.3">
      <c r="A271" s="9">
        <v>270</v>
      </c>
      <c r="B271" s="9" t="s">
        <v>39</v>
      </c>
      <c r="C271" s="9" t="s">
        <v>39</v>
      </c>
      <c r="D271" s="9" t="s">
        <v>39</v>
      </c>
      <c r="E271" s="9" t="s">
        <v>1383</v>
      </c>
      <c r="F271" s="9"/>
      <c r="G271" s="9" t="s">
        <v>104</v>
      </c>
      <c r="H271" s="9" t="s">
        <v>97</v>
      </c>
      <c r="I271" s="9" t="s">
        <v>1384</v>
      </c>
      <c r="J271" s="9" t="s">
        <v>1041</v>
      </c>
      <c r="K271" s="9" t="s">
        <v>1082</v>
      </c>
      <c r="L271" s="9"/>
      <c r="M271" s="9"/>
      <c r="N271" s="9"/>
      <c r="O271" s="11" t="s">
        <v>101</v>
      </c>
      <c r="P271" s="12">
        <v>25.546570039999999</v>
      </c>
      <c r="Q271" s="12">
        <v>-103.43646228</v>
      </c>
      <c r="R271" s="9" t="s">
        <v>1385</v>
      </c>
      <c r="S271" s="13"/>
      <c r="T271" s="13"/>
      <c r="U271" s="13"/>
    </row>
    <row r="272" spans="1:21" x14ac:dyDescent="0.3">
      <c r="A272" s="9">
        <v>271</v>
      </c>
      <c r="B272" s="9" t="s">
        <v>39</v>
      </c>
      <c r="C272" s="9" t="s">
        <v>39</v>
      </c>
      <c r="D272" s="9" t="s">
        <v>39</v>
      </c>
      <c r="E272" s="9" t="s">
        <v>1386</v>
      </c>
      <c r="F272" s="9"/>
      <c r="G272" s="9" t="s">
        <v>104</v>
      </c>
      <c r="H272" s="9" t="s">
        <v>97</v>
      </c>
      <c r="I272" s="9" t="s">
        <v>1387</v>
      </c>
      <c r="J272" s="9" t="s">
        <v>1103</v>
      </c>
      <c r="K272" s="9" t="s">
        <v>1148</v>
      </c>
      <c r="L272" s="9"/>
      <c r="M272" s="9" t="s">
        <v>1388</v>
      </c>
      <c r="N272" s="9"/>
      <c r="O272" s="11" t="s">
        <v>101</v>
      </c>
      <c r="P272" s="12">
        <v>25.52020821</v>
      </c>
      <c r="Q272" s="12">
        <v>-103.40533395</v>
      </c>
      <c r="R272" s="9" t="s">
        <v>1389</v>
      </c>
      <c r="S272" s="13"/>
      <c r="T272" s="13"/>
      <c r="U272" s="13"/>
    </row>
    <row r="273" spans="1:21" x14ac:dyDescent="0.3">
      <c r="A273" s="9">
        <v>272</v>
      </c>
      <c r="B273" s="9" t="s">
        <v>39</v>
      </c>
      <c r="C273" s="9" t="s">
        <v>39</v>
      </c>
      <c r="D273" s="9" t="s">
        <v>39</v>
      </c>
      <c r="E273" s="9" t="s">
        <v>1390</v>
      </c>
      <c r="F273" s="9"/>
      <c r="G273" s="9" t="s">
        <v>104</v>
      </c>
      <c r="H273" s="9" t="s">
        <v>97</v>
      </c>
      <c r="I273" s="9" t="s">
        <v>1391</v>
      </c>
      <c r="J273" s="9" t="s">
        <v>1392</v>
      </c>
      <c r="K273" s="9" t="s">
        <v>1393</v>
      </c>
      <c r="L273" s="9"/>
      <c r="M273" s="9"/>
      <c r="N273" s="9"/>
      <c r="O273" s="11" t="s">
        <v>101</v>
      </c>
      <c r="P273" s="12">
        <v>25.56494945</v>
      </c>
      <c r="Q273" s="12">
        <v>-103.4443759</v>
      </c>
      <c r="R273" s="9" t="s">
        <v>1394</v>
      </c>
      <c r="S273" s="13"/>
      <c r="T273" s="13"/>
      <c r="U273" s="13"/>
    </row>
    <row r="274" spans="1:21" x14ac:dyDescent="0.3">
      <c r="A274" s="9">
        <v>273</v>
      </c>
      <c r="B274" s="9" t="s">
        <v>39</v>
      </c>
      <c r="C274" s="9" t="s">
        <v>39</v>
      </c>
      <c r="D274" s="9" t="s">
        <v>39</v>
      </c>
      <c r="E274" s="9" t="s">
        <v>1395</v>
      </c>
      <c r="F274" s="9"/>
      <c r="G274" s="9" t="s">
        <v>104</v>
      </c>
      <c r="H274" s="9" t="s">
        <v>97</v>
      </c>
      <c r="I274" s="9" t="s">
        <v>1396</v>
      </c>
      <c r="J274" s="9" t="s">
        <v>1397</v>
      </c>
      <c r="K274" s="9" t="s">
        <v>1398</v>
      </c>
      <c r="L274" s="9" t="s">
        <v>1399</v>
      </c>
      <c r="M274" s="9"/>
      <c r="N274" s="9"/>
      <c r="O274" s="11" t="s">
        <v>101</v>
      </c>
      <c r="P274" s="12">
        <v>25.551652650000001</v>
      </c>
      <c r="Q274" s="12">
        <v>-103.37221967000001</v>
      </c>
      <c r="R274" s="9" t="s">
        <v>1400</v>
      </c>
      <c r="S274" s="13"/>
      <c r="T274" s="13"/>
      <c r="U274" s="13"/>
    </row>
    <row r="275" spans="1:21" x14ac:dyDescent="0.3">
      <c r="A275" s="9">
        <v>274</v>
      </c>
      <c r="B275" s="9" t="s">
        <v>39</v>
      </c>
      <c r="C275" s="9" t="s">
        <v>39</v>
      </c>
      <c r="D275" s="9" t="s">
        <v>39</v>
      </c>
      <c r="E275" s="9" t="s">
        <v>1401</v>
      </c>
      <c r="F275" s="9"/>
      <c r="G275" s="9" t="s">
        <v>104</v>
      </c>
      <c r="H275" s="9" t="s">
        <v>97</v>
      </c>
      <c r="I275" s="9" t="s">
        <v>1402</v>
      </c>
      <c r="J275" s="9" t="s">
        <v>1041</v>
      </c>
      <c r="K275" s="9" t="s">
        <v>1082</v>
      </c>
      <c r="L275" s="9" t="s">
        <v>1403</v>
      </c>
      <c r="M275" s="9"/>
      <c r="N275" s="9"/>
      <c r="O275" s="11" t="s">
        <v>101</v>
      </c>
      <c r="P275" s="12">
        <v>25.541560919999998</v>
      </c>
      <c r="Q275" s="12">
        <v>-103.43963423</v>
      </c>
      <c r="R275" s="9" t="s">
        <v>1404</v>
      </c>
      <c r="S275" s="13"/>
      <c r="T275" s="13"/>
      <c r="U275" s="13"/>
    </row>
    <row r="276" spans="1:21" x14ac:dyDescent="0.3">
      <c r="A276" s="9">
        <v>275</v>
      </c>
      <c r="B276" s="9" t="s">
        <v>39</v>
      </c>
      <c r="C276" s="9" t="s">
        <v>39</v>
      </c>
      <c r="D276" s="9" t="s">
        <v>39</v>
      </c>
      <c r="E276" s="9" t="s">
        <v>1405</v>
      </c>
      <c r="F276" s="9"/>
      <c r="G276" s="9" t="s">
        <v>104</v>
      </c>
      <c r="H276" s="9" t="s">
        <v>97</v>
      </c>
      <c r="I276" s="9" t="s">
        <v>1406</v>
      </c>
      <c r="J276" s="9" t="s">
        <v>1041</v>
      </c>
      <c r="K276" s="9" t="s">
        <v>1082</v>
      </c>
      <c r="L276" s="9"/>
      <c r="M276" s="9"/>
      <c r="N276" s="9"/>
      <c r="O276" s="11" t="s">
        <v>101</v>
      </c>
      <c r="P276" s="12">
        <v>25.539749669999999</v>
      </c>
      <c r="Q276" s="12">
        <v>-103.45910619</v>
      </c>
      <c r="R276" s="9" t="s">
        <v>1407</v>
      </c>
      <c r="S276" s="13"/>
      <c r="T276" s="13"/>
      <c r="U276" s="13"/>
    </row>
    <row r="277" spans="1:21" x14ac:dyDescent="0.3">
      <c r="A277" s="9">
        <v>276</v>
      </c>
      <c r="B277" s="9" t="s">
        <v>39</v>
      </c>
      <c r="C277" s="9" t="s">
        <v>39</v>
      </c>
      <c r="D277" s="9" t="s">
        <v>39</v>
      </c>
      <c r="E277" s="9" t="s">
        <v>1408</v>
      </c>
      <c r="F277" s="9"/>
      <c r="G277" s="9" t="s">
        <v>104</v>
      </c>
      <c r="H277" s="9" t="s">
        <v>97</v>
      </c>
      <c r="I277" s="9" t="s">
        <v>1409</v>
      </c>
      <c r="J277" s="9" t="s">
        <v>1410</v>
      </c>
      <c r="K277" s="9" t="s">
        <v>1393</v>
      </c>
      <c r="L277" s="9" t="s">
        <v>1411</v>
      </c>
      <c r="M277" s="9"/>
      <c r="N277" s="9"/>
      <c r="O277" s="11" t="s">
        <v>101</v>
      </c>
      <c r="P277" s="12">
        <v>25.567101220000001</v>
      </c>
      <c r="Q277" s="12">
        <v>-103.43976099</v>
      </c>
      <c r="R277" s="9" t="s">
        <v>1412</v>
      </c>
      <c r="S277" s="13"/>
      <c r="T277" s="13"/>
      <c r="U277" s="13"/>
    </row>
    <row r="278" spans="1:21" x14ac:dyDescent="0.3">
      <c r="A278" s="9">
        <v>277</v>
      </c>
      <c r="B278" s="9" t="s">
        <v>39</v>
      </c>
      <c r="C278" s="9" t="s">
        <v>39</v>
      </c>
      <c r="D278" s="9" t="s">
        <v>39</v>
      </c>
      <c r="E278" s="9" t="s">
        <v>1413</v>
      </c>
      <c r="F278" s="9"/>
      <c r="G278" s="9" t="s">
        <v>104</v>
      </c>
      <c r="H278" s="9" t="s">
        <v>97</v>
      </c>
      <c r="I278" s="9" t="s">
        <v>1414</v>
      </c>
      <c r="J278" s="9" t="s">
        <v>1415</v>
      </c>
      <c r="K278" s="9" t="s">
        <v>1416</v>
      </c>
      <c r="L278" s="9" t="s">
        <v>1417</v>
      </c>
      <c r="M278" s="9"/>
      <c r="N278" s="9"/>
      <c r="O278" s="11" t="s">
        <v>101</v>
      </c>
      <c r="P278" s="12">
        <v>25.54562863</v>
      </c>
      <c r="Q278" s="12">
        <v>-103.37600209999999</v>
      </c>
      <c r="R278" s="9" t="s">
        <v>1418</v>
      </c>
      <c r="S278" s="13"/>
      <c r="T278" s="13"/>
      <c r="U278" s="13"/>
    </row>
    <row r="279" spans="1:21" x14ac:dyDescent="0.3">
      <c r="A279" s="9">
        <v>278</v>
      </c>
      <c r="B279" s="9" t="s">
        <v>39</v>
      </c>
      <c r="C279" s="9" t="s">
        <v>39</v>
      </c>
      <c r="D279" s="9" t="s">
        <v>39</v>
      </c>
      <c r="E279" s="9" t="s">
        <v>1419</v>
      </c>
      <c r="F279" s="9"/>
      <c r="G279" s="9" t="s">
        <v>104</v>
      </c>
      <c r="H279" s="9" t="s">
        <v>97</v>
      </c>
      <c r="I279" s="9" t="s">
        <v>1420</v>
      </c>
      <c r="J279" s="9" t="s">
        <v>1421</v>
      </c>
      <c r="K279" s="9" t="s">
        <v>1116</v>
      </c>
      <c r="L279" s="9" t="s">
        <v>1422</v>
      </c>
      <c r="M279" s="9"/>
      <c r="N279" s="9"/>
      <c r="O279" s="11" t="s">
        <v>101</v>
      </c>
      <c r="P279" s="12">
        <v>25.61972445</v>
      </c>
      <c r="Q279" s="12">
        <v>-103.39088559</v>
      </c>
      <c r="R279" s="9" t="s">
        <v>1423</v>
      </c>
      <c r="S279" s="13"/>
      <c r="T279" s="13"/>
      <c r="U279" s="13"/>
    </row>
    <row r="280" spans="1:21" x14ac:dyDescent="0.3">
      <c r="A280" s="9">
        <v>279</v>
      </c>
      <c r="B280" s="9" t="s">
        <v>39</v>
      </c>
      <c r="C280" s="9" t="s">
        <v>39</v>
      </c>
      <c r="D280" s="9" t="s">
        <v>39</v>
      </c>
      <c r="E280" s="9" t="s">
        <v>1424</v>
      </c>
      <c r="F280" s="9"/>
      <c r="G280" s="9" t="s">
        <v>104</v>
      </c>
      <c r="H280" s="9" t="s">
        <v>97</v>
      </c>
      <c r="I280" s="9" t="s">
        <v>1425</v>
      </c>
      <c r="J280" s="9" t="s">
        <v>1308</v>
      </c>
      <c r="K280" s="9" t="s">
        <v>1256</v>
      </c>
      <c r="L280" s="9" t="s">
        <v>1426</v>
      </c>
      <c r="M280" s="9"/>
      <c r="N280" s="9"/>
      <c r="O280" s="11" t="s">
        <v>101</v>
      </c>
      <c r="P280" s="12">
        <v>25.54061059</v>
      </c>
      <c r="Q280" s="12">
        <v>-103.40411616999999</v>
      </c>
      <c r="R280" s="9" t="s">
        <v>1427</v>
      </c>
      <c r="S280" s="13"/>
      <c r="T280" s="13"/>
      <c r="U280" s="13"/>
    </row>
    <row r="281" spans="1:21" x14ac:dyDescent="0.3">
      <c r="A281" s="9">
        <v>280</v>
      </c>
      <c r="B281" s="9" t="s">
        <v>39</v>
      </c>
      <c r="C281" s="9" t="s">
        <v>39</v>
      </c>
      <c r="D281" s="9" t="s">
        <v>39</v>
      </c>
      <c r="E281" s="9" t="s">
        <v>1428</v>
      </c>
      <c r="F281" s="9"/>
      <c r="G281" s="9" t="s">
        <v>104</v>
      </c>
      <c r="H281" s="9" t="s">
        <v>97</v>
      </c>
      <c r="I281" s="9" t="s">
        <v>1429</v>
      </c>
      <c r="J281" s="9" t="s">
        <v>1430</v>
      </c>
      <c r="K281" s="9" t="s">
        <v>1158</v>
      </c>
      <c r="L281" s="9" t="s">
        <v>1431</v>
      </c>
      <c r="M281" s="9"/>
      <c r="N281" s="9"/>
      <c r="O281" s="11" t="s">
        <v>101</v>
      </c>
      <c r="P281" s="12">
        <v>25.58722453</v>
      </c>
      <c r="Q281" s="12">
        <v>-103.35644771</v>
      </c>
      <c r="R281" s="9" t="s">
        <v>1432</v>
      </c>
      <c r="S281" s="13"/>
      <c r="T281" s="13"/>
      <c r="U281" s="13"/>
    </row>
    <row r="282" spans="1:21" x14ac:dyDescent="0.3">
      <c r="A282" s="9">
        <v>281</v>
      </c>
      <c r="B282" s="9" t="s">
        <v>39</v>
      </c>
      <c r="C282" s="9" t="s">
        <v>39</v>
      </c>
      <c r="D282" s="9" t="s">
        <v>39</v>
      </c>
      <c r="E282" s="9" t="s">
        <v>1433</v>
      </c>
      <c r="F282" s="9"/>
      <c r="G282" s="9" t="s">
        <v>104</v>
      </c>
      <c r="H282" s="9" t="s">
        <v>97</v>
      </c>
      <c r="I282" s="9" t="s">
        <v>1434</v>
      </c>
      <c r="J282" s="9" t="s">
        <v>1200</v>
      </c>
      <c r="K282" s="9" t="s">
        <v>1123</v>
      </c>
      <c r="L282" s="9" t="s">
        <v>1435</v>
      </c>
      <c r="M282" s="9"/>
      <c r="N282" s="9"/>
      <c r="O282" s="11" t="s">
        <v>101</v>
      </c>
      <c r="P282" s="12">
        <v>25.517693309999999</v>
      </c>
      <c r="Q282" s="12">
        <v>-103.39925713</v>
      </c>
      <c r="R282" s="9" t="s">
        <v>1436</v>
      </c>
      <c r="S282" s="13"/>
      <c r="T282" s="13"/>
      <c r="U282" s="13"/>
    </row>
    <row r="283" spans="1:21" x14ac:dyDescent="0.3">
      <c r="A283" s="9">
        <v>282</v>
      </c>
      <c r="B283" s="9" t="s">
        <v>39</v>
      </c>
      <c r="C283" s="9" t="s">
        <v>39</v>
      </c>
      <c r="D283" s="9" t="s">
        <v>39</v>
      </c>
      <c r="E283" s="9" t="s">
        <v>1437</v>
      </c>
      <c r="F283" s="9"/>
      <c r="G283" s="9" t="s">
        <v>104</v>
      </c>
      <c r="H283" s="9" t="s">
        <v>97</v>
      </c>
      <c r="I283" s="9" t="s">
        <v>1438</v>
      </c>
      <c r="J283" s="9" t="s">
        <v>1439</v>
      </c>
      <c r="K283" s="9" t="s">
        <v>1440</v>
      </c>
      <c r="L283" s="9"/>
      <c r="M283" s="9"/>
      <c r="N283" s="9"/>
      <c r="O283" s="11" t="s">
        <v>101</v>
      </c>
      <c r="P283" s="12">
        <v>25.55673779</v>
      </c>
      <c r="Q283" s="12">
        <v>-103.44874411000001</v>
      </c>
      <c r="R283" s="9" t="s">
        <v>1441</v>
      </c>
      <c r="S283" s="13"/>
      <c r="T283" s="13"/>
      <c r="U283" s="13"/>
    </row>
    <row r="284" spans="1:21" x14ac:dyDescent="0.3">
      <c r="A284" s="9">
        <v>283</v>
      </c>
      <c r="B284" s="9" t="s">
        <v>39</v>
      </c>
      <c r="C284" s="9" t="s">
        <v>39</v>
      </c>
      <c r="D284" s="9" t="s">
        <v>39</v>
      </c>
      <c r="E284" s="9" t="s">
        <v>1442</v>
      </c>
      <c r="F284" s="9"/>
      <c r="G284" s="9" t="s">
        <v>104</v>
      </c>
      <c r="H284" s="9" t="s">
        <v>97</v>
      </c>
      <c r="I284" s="9" t="s">
        <v>1443</v>
      </c>
      <c r="J284" s="9" t="s">
        <v>1076</v>
      </c>
      <c r="K284" s="9" t="s">
        <v>1077</v>
      </c>
      <c r="L284" s="9" t="s">
        <v>1444</v>
      </c>
      <c r="M284" s="9"/>
      <c r="N284" s="9"/>
      <c r="O284" s="11" t="s">
        <v>101</v>
      </c>
      <c r="P284" s="12">
        <v>25.558785350000001</v>
      </c>
      <c r="Q284" s="12">
        <v>-103.43083827</v>
      </c>
      <c r="R284" s="9" t="s">
        <v>1445</v>
      </c>
      <c r="S284" s="13"/>
      <c r="T284" s="13"/>
      <c r="U284" s="13"/>
    </row>
    <row r="285" spans="1:21" x14ac:dyDescent="0.3">
      <c r="A285" s="9">
        <v>284</v>
      </c>
      <c r="B285" s="9" t="s">
        <v>39</v>
      </c>
      <c r="C285" s="9" t="s">
        <v>39</v>
      </c>
      <c r="D285" s="9" t="s">
        <v>39</v>
      </c>
      <c r="E285" s="9" t="s">
        <v>1446</v>
      </c>
      <c r="F285" s="9"/>
      <c r="G285" s="9" t="s">
        <v>104</v>
      </c>
      <c r="H285" s="9" t="s">
        <v>97</v>
      </c>
      <c r="I285" s="9" t="s">
        <v>1447</v>
      </c>
      <c r="J285" s="9" t="s">
        <v>1448</v>
      </c>
      <c r="K285" s="9" t="s">
        <v>1449</v>
      </c>
      <c r="L285" s="9"/>
      <c r="M285" s="9"/>
      <c r="N285" s="9"/>
      <c r="O285" s="11" t="s">
        <v>101</v>
      </c>
      <c r="P285" s="12">
        <v>25.55803324</v>
      </c>
      <c r="Q285" s="12">
        <v>-103.38700409</v>
      </c>
      <c r="R285" s="9" t="s">
        <v>1450</v>
      </c>
      <c r="S285" s="13"/>
      <c r="T285" s="13"/>
      <c r="U285" s="13"/>
    </row>
    <row r="286" spans="1:21" x14ac:dyDescent="0.3">
      <c r="A286" s="9">
        <v>285</v>
      </c>
      <c r="B286" s="9" t="s">
        <v>39</v>
      </c>
      <c r="C286" s="9" t="s">
        <v>39</v>
      </c>
      <c r="D286" s="9" t="s">
        <v>39</v>
      </c>
      <c r="E286" s="9" t="s">
        <v>1451</v>
      </c>
      <c r="F286" s="9"/>
      <c r="G286" s="9" t="s">
        <v>104</v>
      </c>
      <c r="H286" s="9" t="s">
        <v>97</v>
      </c>
      <c r="I286" s="9" t="s">
        <v>1452</v>
      </c>
      <c r="J286" s="9" t="s">
        <v>1392</v>
      </c>
      <c r="K286" s="9" t="s">
        <v>1110</v>
      </c>
      <c r="L286" s="9" t="s">
        <v>1453</v>
      </c>
      <c r="M286" s="9"/>
      <c r="N286" s="9"/>
      <c r="O286" s="11" t="s">
        <v>101</v>
      </c>
      <c r="P286" s="12">
        <v>25.564490429999999</v>
      </c>
      <c r="Q286" s="12">
        <v>-103.43930761999999</v>
      </c>
      <c r="R286" s="9" t="s">
        <v>1454</v>
      </c>
      <c r="S286" s="13"/>
      <c r="T286" s="13"/>
      <c r="U286" s="13"/>
    </row>
    <row r="287" spans="1:21" x14ac:dyDescent="0.3">
      <c r="A287" s="9">
        <v>286</v>
      </c>
      <c r="B287" s="9" t="s">
        <v>39</v>
      </c>
      <c r="C287" s="9" t="s">
        <v>39</v>
      </c>
      <c r="D287" s="9" t="s">
        <v>39</v>
      </c>
      <c r="E287" s="9" t="s">
        <v>549</v>
      </c>
      <c r="F287" s="9"/>
      <c r="G287" s="9" t="s">
        <v>104</v>
      </c>
      <c r="H287" s="9" t="s">
        <v>97</v>
      </c>
      <c r="I287" s="9" t="s">
        <v>1455</v>
      </c>
      <c r="J287" s="9" t="s">
        <v>1456</v>
      </c>
      <c r="K287" s="9"/>
      <c r="L287" s="9"/>
      <c r="M287" s="9"/>
      <c r="N287" s="9"/>
      <c r="O287" s="11" t="s">
        <v>101</v>
      </c>
      <c r="P287" s="12">
        <v>25.51932515</v>
      </c>
      <c r="Q287" s="12">
        <v>-103.39626197</v>
      </c>
      <c r="R287" s="9" t="s">
        <v>1457</v>
      </c>
      <c r="S287" s="13"/>
      <c r="T287" s="13"/>
      <c r="U287" s="13"/>
    </row>
    <row r="288" spans="1:21" x14ac:dyDescent="0.3">
      <c r="A288" s="9">
        <v>287</v>
      </c>
      <c r="B288" s="9" t="s">
        <v>39</v>
      </c>
      <c r="C288" s="9" t="s">
        <v>39</v>
      </c>
      <c r="D288" s="9" t="s">
        <v>39</v>
      </c>
      <c r="E288" s="9" t="s">
        <v>549</v>
      </c>
      <c r="F288" s="9"/>
      <c r="G288" s="9" t="s">
        <v>104</v>
      </c>
      <c r="H288" s="9" t="s">
        <v>97</v>
      </c>
      <c r="I288" s="9" t="s">
        <v>1458</v>
      </c>
      <c r="J288" s="9" t="s">
        <v>1041</v>
      </c>
      <c r="K288" s="9" t="s">
        <v>1082</v>
      </c>
      <c r="L288" s="9"/>
      <c r="M288" s="9"/>
      <c r="N288" s="9"/>
      <c r="O288" s="11" t="s">
        <v>101</v>
      </c>
      <c r="P288" s="12">
        <v>25.53894219</v>
      </c>
      <c r="Q288" s="12">
        <v>-103.41623509999999</v>
      </c>
      <c r="R288" s="9" t="s">
        <v>1459</v>
      </c>
      <c r="S288" s="13"/>
      <c r="T288" s="13"/>
      <c r="U288" s="13"/>
    </row>
    <row r="289" spans="1:21" x14ac:dyDescent="0.3">
      <c r="A289" s="9">
        <v>288</v>
      </c>
      <c r="B289" s="9" t="s">
        <v>39</v>
      </c>
      <c r="C289" s="9" t="s">
        <v>39</v>
      </c>
      <c r="D289" s="9" t="s">
        <v>39</v>
      </c>
      <c r="E289" s="9" t="s">
        <v>549</v>
      </c>
      <c r="F289" s="9"/>
      <c r="G289" s="9" t="s">
        <v>104</v>
      </c>
      <c r="H289" s="9" t="s">
        <v>97</v>
      </c>
      <c r="I289" s="9" t="s">
        <v>1460</v>
      </c>
      <c r="J289" s="9" t="s">
        <v>1461</v>
      </c>
      <c r="K289" s="9" t="s">
        <v>1356</v>
      </c>
      <c r="L289" s="9"/>
      <c r="M289" s="9"/>
      <c r="N289" s="9"/>
      <c r="O289" s="11" t="s">
        <v>101</v>
      </c>
      <c r="P289" s="12">
        <v>25.542922279999999</v>
      </c>
      <c r="Q289" s="12">
        <v>-103.35810596</v>
      </c>
      <c r="R289" s="9" t="s">
        <v>1462</v>
      </c>
      <c r="S289" s="13"/>
      <c r="T289" s="13"/>
      <c r="U289" s="13"/>
    </row>
    <row r="290" spans="1:21" x14ac:dyDescent="0.3">
      <c r="A290" s="9">
        <v>289</v>
      </c>
      <c r="B290" s="9" t="s">
        <v>39</v>
      </c>
      <c r="C290" s="9" t="s">
        <v>39</v>
      </c>
      <c r="D290" s="9" t="s">
        <v>39</v>
      </c>
      <c r="E290" s="9" t="s">
        <v>1463</v>
      </c>
      <c r="F290" s="9"/>
      <c r="G290" s="9" t="s">
        <v>104</v>
      </c>
      <c r="H290" s="9" t="s">
        <v>97</v>
      </c>
      <c r="I290" s="9" t="s">
        <v>1464</v>
      </c>
      <c r="J290" s="9" t="s">
        <v>1103</v>
      </c>
      <c r="K290" s="9" t="s">
        <v>1123</v>
      </c>
      <c r="L290" s="9" t="s">
        <v>1465</v>
      </c>
      <c r="M290" s="9"/>
      <c r="N290" s="9"/>
      <c r="O290" s="11" t="s">
        <v>101</v>
      </c>
      <c r="P290" s="12">
        <v>25.523223470000001</v>
      </c>
      <c r="Q290" s="12">
        <v>-103.40313811</v>
      </c>
      <c r="R290" s="9" t="s">
        <v>1466</v>
      </c>
      <c r="S290" s="13"/>
      <c r="T290" s="13"/>
      <c r="U290" s="13"/>
    </row>
    <row r="291" spans="1:21" x14ac:dyDescent="0.3">
      <c r="A291" s="9">
        <v>290</v>
      </c>
      <c r="B291" s="9" t="s">
        <v>39</v>
      </c>
      <c r="C291" s="9" t="s">
        <v>39</v>
      </c>
      <c r="D291" s="9" t="s">
        <v>39</v>
      </c>
      <c r="E291" s="9" t="s">
        <v>1467</v>
      </c>
      <c r="F291" s="9"/>
      <c r="G291" s="9" t="s">
        <v>104</v>
      </c>
      <c r="H291" s="9" t="s">
        <v>97</v>
      </c>
      <c r="I291" s="9" t="s">
        <v>1468</v>
      </c>
      <c r="J291" s="9" t="s">
        <v>1469</v>
      </c>
      <c r="K291" s="9" t="s">
        <v>1322</v>
      </c>
      <c r="L291" s="9"/>
      <c r="M291" s="9"/>
      <c r="N291" s="9"/>
      <c r="O291" s="11" t="s">
        <v>101</v>
      </c>
      <c r="P291" s="12">
        <v>25.55546841</v>
      </c>
      <c r="Q291" s="12">
        <v>-103.36406347</v>
      </c>
      <c r="R291" s="9" t="s">
        <v>1470</v>
      </c>
      <c r="S291" s="13"/>
      <c r="T291" s="13"/>
      <c r="U291" s="13"/>
    </row>
    <row r="292" spans="1:21" x14ac:dyDescent="0.3">
      <c r="A292" s="9">
        <v>291</v>
      </c>
      <c r="B292" s="9" t="s">
        <v>39</v>
      </c>
      <c r="C292" s="9" t="s">
        <v>39</v>
      </c>
      <c r="D292" s="9" t="s">
        <v>39</v>
      </c>
      <c r="E292" s="9" t="s">
        <v>1471</v>
      </c>
      <c r="F292" s="9"/>
      <c r="G292" s="9" t="s">
        <v>104</v>
      </c>
      <c r="H292" s="9" t="s">
        <v>97</v>
      </c>
      <c r="I292" s="9" t="s">
        <v>1472</v>
      </c>
      <c r="J292" s="9" t="s">
        <v>1473</v>
      </c>
      <c r="K292" s="9" t="s">
        <v>1474</v>
      </c>
      <c r="L292" s="9"/>
      <c r="M292" s="9" t="s">
        <v>1475</v>
      </c>
      <c r="N292" s="9"/>
      <c r="O292" s="11" t="s">
        <v>101</v>
      </c>
      <c r="P292" s="12">
        <v>25.572662300000001</v>
      </c>
      <c r="Q292" s="12">
        <v>-103.42482058</v>
      </c>
      <c r="R292" s="9" t="s">
        <v>1476</v>
      </c>
      <c r="S292" s="13"/>
      <c r="T292" s="13"/>
      <c r="U292" s="13"/>
    </row>
    <row r="293" spans="1:21" x14ac:dyDescent="0.3">
      <c r="A293" s="9">
        <v>292</v>
      </c>
      <c r="B293" s="9" t="s">
        <v>39</v>
      </c>
      <c r="C293" s="9" t="s">
        <v>39</v>
      </c>
      <c r="D293" s="9" t="s">
        <v>39</v>
      </c>
      <c r="E293" s="9" t="s">
        <v>1477</v>
      </c>
      <c r="F293" s="9"/>
      <c r="G293" s="9" t="s">
        <v>104</v>
      </c>
      <c r="H293" s="9" t="s">
        <v>97</v>
      </c>
      <c r="I293" s="9" t="s">
        <v>1478</v>
      </c>
      <c r="J293" s="9" t="s">
        <v>1479</v>
      </c>
      <c r="K293" s="9" t="s">
        <v>1480</v>
      </c>
      <c r="L293" s="9"/>
      <c r="M293" s="9"/>
      <c r="N293" s="9"/>
      <c r="O293" s="11" t="s">
        <v>101</v>
      </c>
      <c r="P293" s="12">
        <v>25.57112785</v>
      </c>
      <c r="Q293" s="12">
        <v>-103.43157657</v>
      </c>
      <c r="R293" s="9" t="s">
        <v>1481</v>
      </c>
      <c r="S293" s="13"/>
      <c r="T293" s="13"/>
      <c r="U293" s="13"/>
    </row>
    <row r="294" spans="1:21" x14ac:dyDescent="0.3">
      <c r="A294" s="9">
        <v>293</v>
      </c>
      <c r="B294" s="9" t="s">
        <v>39</v>
      </c>
      <c r="C294" s="9" t="s">
        <v>39</v>
      </c>
      <c r="D294" s="9" t="s">
        <v>39</v>
      </c>
      <c r="E294" s="9" t="s">
        <v>1482</v>
      </c>
      <c r="F294" s="9"/>
      <c r="G294" s="9" t="s">
        <v>104</v>
      </c>
      <c r="H294" s="9" t="s">
        <v>97</v>
      </c>
      <c r="I294" s="9" t="s">
        <v>1483</v>
      </c>
      <c r="J294" s="9" t="s">
        <v>1122</v>
      </c>
      <c r="K294" s="9" t="s">
        <v>1153</v>
      </c>
      <c r="L294" s="9"/>
      <c r="M294" s="9" t="s">
        <v>1484</v>
      </c>
      <c r="N294" s="9"/>
      <c r="O294" s="11" t="s">
        <v>101</v>
      </c>
      <c r="P294" s="12">
        <v>25.53093943</v>
      </c>
      <c r="Q294" s="12">
        <v>-103.41543641</v>
      </c>
      <c r="R294" s="9" t="s">
        <v>1485</v>
      </c>
      <c r="S294" s="13"/>
      <c r="T294" s="13"/>
      <c r="U294" s="13"/>
    </row>
    <row r="295" spans="1:21" x14ac:dyDescent="0.3">
      <c r="A295" s="9">
        <v>294</v>
      </c>
      <c r="B295" s="9" t="s">
        <v>39</v>
      </c>
      <c r="C295" s="9" t="s">
        <v>39</v>
      </c>
      <c r="D295" s="9" t="s">
        <v>39</v>
      </c>
      <c r="E295" s="9" t="s">
        <v>1486</v>
      </c>
      <c r="F295" s="9"/>
      <c r="G295" s="9" t="s">
        <v>104</v>
      </c>
      <c r="H295" s="9" t="s">
        <v>97</v>
      </c>
      <c r="I295" s="9" t="s">
        <v>1487</v>
      </c>
      <c r="J295" s="9" t="s">
        <v>1488</v>
      </c>
      <c r="K295" s="9" t="s">
        <v>1480</v>
      </c>
      <c r="L295" s="9"/>
      <c r="M295" s="9"/>
      <c r="N295" s="9"/>
      <c r="O295" s="11" t="s">
        <v>101</v>
      </c>
      <c r="P295" s="12">
        <v>25.56945327</v>
      </c>
      <c r="Q295" s="12">
        <v>-103.43257961</v>
      </c>
      <c r="R295" s="9" t="s">
        <v>1489</v>
      </c>
      <c r="S295" s="13"/>
      <c r="T295" s="13"/>
      <c r="U295" s="13"/>
    </row>
    <row r="296" spans="1:21" x14ac:dyDescent="0.3">
      <c r="A296" s="9">
        <v>295</v>
      </c>
      <c r="B296" s="9" t="s">
        <v>39</v>
      </c>
      <c r="C296" s="9" t="s">
        <v>39</v>
      </c>
      <c r="D296" s="9" t="s">
        <v>39</v>
      </c>
      <c r="E296" s="9" t="s">
        <v>1490</v>
      </c>
      <c r="F296" s="9"/>
      <c r="G296" s="9" t="s">
        <v>104</v>
      </c>
      <c r="H296" s="9" t="s">
        <v>438</v>
      </c>
      <c r="I296" s="9" t="s">
        <v>1491</v>
      </c>
      <c r="J296" s="9" t="s">
        <v>1492</v>
      </c>
      <c r="K296" s="9" t="s">
        <v>1493</v>
      </c>
      <c r="L296" s="9" t="s">
        <v>1494</v>
      </c>
      <c r="M296" s="9"/>
      <c r="N296" s="9"/>
      <c r="O296" s="11" t="s">
        <v>101</v>
      </c>
      <c r="P296" s="12">
        <v>25.52256131</v>
      </c>
      <c r="Q296" s="12">
        <v>-103.35177602</v>
      </c>
      <c r="R296" s="9" t="s">
        <v>1495</v>
      </c>
      <c r="S296" s="13"/>
      <c r="T296" s="13"/>
      <c r="U296" s="13"/>
    </row>
    <row r="297" spans="1:21" x14ac:dyDescent="0.3">
      <c r="A297" s="9">
        <v>296</v>
      </c>
      <c r="B297" s="9" t="s">
        <v>39</v>
      </c>
      <c r="C297" s="9" t="s">
        <v>39</v>
      </c>
      <c r="D297" s="9" t="s">
        <v>39</v>
      </c>
      <c r="E297" s="9" t="s">
        <v>1496</v>
      </c>
      <c r="F297" s="9" t="s">
        <v>1497</v>
      </c>
      <c r="G297" s="9" t="s">
        <v>96</v>
      </c>
      <c r="H297" s="9" t="s">
        <v>97</v>
      </c>
      <c r="I297" s="9" t="s">
        <v>1498</v>
      </c>
      <c r="J297" s="9" t="s">
        <v>1499</v>
      </c>
      <c r="K297" s="9" t="s">
        <v>1290</v>
      </c>
      <c r="L297" s="9" t="s">
        <v>1500</v>
      </c>
      <c r="M297" s="9"/>
      <c r="N297" s="9"/>
      <c r="O297" s="11" t="s">
        <v>101</v>
      </c>
      <c r="P297" s="12">
        <v>25.521350170000002</v>
      </c>
      <c r="Q297" s="12">
        <v>-103.39409876000001</v>
      </c>
      <c r="R297" s="9" t="s">
        <v>1501</v>
      </c>
      <c r="S297" s="13"/>
      <c r="T297" s="13"/>
      <c r="U297" s="13"/>
    </row>
    <row r="298" spans="1:21" x14ac:dyDescent="0.3">
      <c r="A298" s="9">
        <v>297</v>
      </c>
      <c r="B298" s="9" t="s">
        <v>39</v>
      </c>
      <c r="C298" s="9" t="s">
        <v>39</v>
      </c>
      <c r="D298" s="9" t="s">
        <v>39</v>
      </c>
      <c r="E298" s="9" t="s">
        <v>1502</v>
      </c>
      <c r="F298" s="9"/>
      <c r="G298" s="9" t="s">
        <v>96</v>
      </c>
      <c r="H298" s="9" t="s">
        <v>97</v>
      </c>
      <c r="I298" s="9" t="s">
        <v>1503</v>
      </c>
      <c r="J298" s="9" t="s">
        <v>1499</v>
      </c>
      <c r="K298" s="9" t="s">
        <v>1290</v>
      </c>
      <c r="L298" s="9" t="s">
        <v>1504</v>
      </c>
      <c r="M298" s="9"/>
      <c r="N298" s="9"/>
      <c r="O298" s="11" t="s">
        <v>101</v>
      </c>
      <c r="P298" s="12">
        <v>25.521909520000001</v>
      </c>
      <c r="Q298" s="12">
        <v>-103.3935374</v>
      </c>
      <c r="R298" s="9" t="s">
        <v>1505</v>
      </c>
      <c r="S298" s="13"/>
      <c r="T298" s="13"/>
      <c r="U298" s="13"/>
    </row>
    <row r="299" spans="1:21" x14ac:dyDescent="0.3">
      <c r="A299" s="9">
        <v>298</v>
      </c>
      <c r="B299" s="9" t="s">
        <v>39</v>
      </c>
      <c r="C299" s="9" t="s">
        <v>39</v>
      </c>
      <c r="D299" s="9" t="s">
        <v>39</v>
      </c>
      <c r="E299" s="9" t="s">
        <v>1506</v>
      </c>
      <c r="F299" s="9"/>
      <c r="G299" s="9" t="s">
        <v>96</v>
      </c>
      <c r="H299" s="9" t="s">
        <v>97</v>
      </c>
      <c r="I299" s="9" t="s">
        <v>1507</v>
      </c>
      <c r="J299" s="9" t="s">
        <v>1448</v>
      </c>
      <c r="K299" s="9" t="s">
        <v>1449</v>
      </c>
      <c r="L299" s="9" t="s">
        <v>1508</v>
      </c>
      <c r="M299" s="9"/>
      <c r="N299" s="9"/>
      <c r="O299" s="11" t="s">
        <v>101</v>
      </c>
      <c r="P299" s="12">
        <v>25.558033330000001</v>
      </c>
      <c r="Q299" s="12">
        <v>-103.38701426999999</v>
      </c>
      <c r="R299" s="9" t="s">
        <v>1509</v>
      </c>
      <c r="S299" s="13"/>
      <c r="T299" s="13"/>
      <c r="U299" s="13"/>
    </row>
    <row r="300" spans="1:21" x14ac:dyDescent="0.3">
      <c r="A300" s="9">
        <v>299</v>
      </c>
      <c r="B300" s="9" t="s">
        <v>39</v>
      </c>
      <c r="C300" s="9" t="s">
        <v>39</v>
      </c>
      <c r="D300" s="9" t="s">
        <v>39</v>
      </c>
      <c r="E300" s="9" t="s">
        <v>1510</v>
      </c>
      <c r="F300" s="9"/>
      <c r="G300" s="9" t="s">
        <v>96</v>
      </c>
      <c r="H300" s="9" t="s">
        <v>97</v>
      </c>
      <c r="I300" s="9" t="s">
        <v>1511</v>
      </c>
      <c r="J300" s="9" t="s">
        <v>1076</v>
      </c>
      <c r="K300" s="9" t="s">
        <v>1077</v>
      </c>
      <c r="L300" s="9" t="s">
        <v>1512</v>
      </c>
      <c r="M300" s="9"/>
      <c r="N300" s="9"/>
      <c r="O300" s="11" t="s">
        <v>101</v>
      </c>
      <c r="P300" s="12">
        <v>25.55858199</v>
      </c>
      <c r="Q300" s="12">
        <v>-103.42629083</v>
      </c>
      <c r="R300" s="9" t="s">
        <v>1513</v>
      </c>
      <c r="S300" s="13"/>
      <c r="T300" s="13"/>
      <c r="U300" s="13"/>
    </row>
    <row r="301" spans="1:21" x14ac:dyDescent="0.3">
      <c r="A301" s="9">
        <v>300</v>
      </c>
      <c r="B301" s="9" t="s">
        <v>39</v>
      </c>
      <c r="C301" s="9" t="s">
        <v>39</v>
      </c>
      <c r="D301" s="9" t="s">
        <v>39</v>
      </c>
      <c r="E301" s="9" t="s">
        <v>1514</v>
      </c>
      <c r="F301" s="9"/>
      <c r="G301" s="9" t="s">
        <v>96</v>
      </c>
      <c r="H301" s="9" t="s">
        <v>97</v>
      </c>
      <c r="I301" s="9" t="s">
        <v>1515</v>
      </c>
      <c r="J301" s="9" t="s">
        <v>1041</v>
      </c>
      <c r="K301" s="9" t="s">
        <v>1480</v>
      </c>
      <c r="L301" s="9" t="s">
        <v>1516</v>
      </c>
      <c r="M301" s="9" t="s">
        <v>1517</v>
      </c>
      <c r="N301" s="9"/>
      <c r="O301" s="11" t="s">
        <v>101</v>
      </c>
      <c r="P301" s="12">
        <v>25.55746517</v>
      </c>
      <c r="Q301" s="12">
        <v>-103.43682260999999</v>
      </c>
      <c r="R301" s="9" t="s">
        <v>1518</v>
      </c>
      <c r="S301" s="13"/>
      <c r="T301" s="13"/>
      <c r="U301" s="13"/>
    </row>
    <row r="302" spans="1:21" x14ac:dyDescent="0.3">
      <c r="A302" s="9">
        <v>301</v>
      </c>
      <c r="B302" s="9" t="s">
        <v>39</v>
      </c>
      <c r="C302" s="9" t="s">
        <v>39</v>
      </c>
      <c r="D302" s="9" t="s">
        <v>39</v>
      </c>
      <c r="E302" s="9" t="s">
        <v>1514</v>
      </c>
      <c r="F302" s="9"/>
      <c r="G302" s="9" t="s">
        <v>96</v>
      </c>
      <c r="H302" s="9" t="s">
        <v>97</v>
      </c>
      <c r="I302" s="9" t="s">
        <v>1519</v>
      </c>
      <c r="J302" s="9" t="s">
        <v>1520</v>
      </c>
      <c r="K302" s="9" t="s">
        <v>1521</v>
      </c>
      <c r="L302" s="9" t="s">
        <v>1522</v>
      </c>
      <c r="M302" s="9"/>
      <c r="N302" s="9"/>
      <c r="O302" s="11" t="s">
        <v>101</v>
      </c>
      <c r="P302" s="12">
        <v>25.57526184</v>
      </c>
      <c r="Q302" s="12">
        <v>-103.37709407</v>
      </c>
      <c r="R302" s="9" t="s">
        <v>1523</v>
      </c>
      <c r="S302" s="13"/>
      <c r="T302" s="13"/>
      <c r="U302" s="13"/>
    </row>
    <row r="303" spans="1:21" x14ac:dyDescent="0.3">
      <c r="A303" s="9">
        <v>302</v>
      </c>
      <c r="B303" s="9" t="s">
        <v>39</v>
      </c>
      <c r="C303" s="9" t="s">
        <v>39</v>
      </c>
      <c r="D303" s="9" t="s">
        <v>39</v>
      </c>
      <c r="E303" s="9" t="s">
        <v>1524</v>
      </c>
      <c r="F303" s="9"/>
      <c r="G303" s="9" t="s">
        <v>96</v>
      </c>
      <c r="H303" s="9" t="s">
        <v>97</v>
      </c>
      <c r="I303" s="9" t="s">
        <v>1525</v>
      </c>
      <c r="J303" s="9" t="s">
        <v>1526</v>
      </c>
      <c r="K303" s="9" t="s">
        <v>1527</v>
      </c>
      <c r="L303" s="9" t="s">
        <v>1528</v>
      </c>
      <c r="M303" s="9"/>
      <c r="N303" s="9"/>
      <c r="O303" s="11" t="s">
        <v>101</v>
      </c>
      <c r="P303" s="12">
        <v>25.545440079999999</v>
      </c>
      <c r="Q303" s="12">
        <v>-103.46076832999999</v>
      </c>
      <c r="R303" s="9" t="s">
        <v>1529</v>
      </c>
      <c r="S303" s="13"/>
      <c r="T303" s="13"/>
      <c r="U303" s="13"/>
    </row>
    <row r="304" spans="1:21" x14ac:dyDescent="0.3">
      <c r="A304" s="9">
        <v>303</v>
      </c>
      <c r="B304" s="9" t="s">
        <v>39</v>
      </c>
      <c r="C304" s="9" t="s">
        <v>39</v>
      </c>
      <c r="D304" s="9" t="s">
        <v>39</v>
      </c>
      <c r="E304" s="9" t="s">
        <v>1530</v>
      </c>
      <c r="F304" s="9"/>
      <c r="G304" s="9" t="s">
        <v>569</v>
      </c>
      <c r="H304" s="9" t="s">
        <v>97</v>
      </c>
      <c r="I304" s="9" t="s">
        <v>1531</v>
      </c>
      <c r="J304" s="9" t="s">
        <v>1152</v>
      </c>
      <c r="K304" s="9" t="s">
        <v>1208</v>
      </c>
      <c r="L304" s="9" t="s">
        <v>1532</v>
      </c>
      <c r="M304" s="9"/>
      <c r="N304" s="9"/>
      <c r="O304" s="11" t="s">
        <v>101</v>
      </c>
      <c r="P304" s="12">
        <v>25.544836109999999</v>
      </c>
      <c r="Q304" s="12">
        <v>-103.40077219</v>
      </c>
      <c r="R304" s="9" t="s">
        <v>1533</v>
      </c>
      <c r="S304" s="13"/>
      <c r="T304" s="13"/>
      <c r="U304" s="13"/>
    </row>
    <row r="305" spans="1:21" x14ac:dyDescent="0.3">
      <c r="A305" s="9">
        <v>304</v>
      </c>
      <c r="B305" s="9" t="s">
        <v>39</v>
      </c>
      <c r="C305" s="9" t="s">
        <v>39</v>
      </c>
      <c r="D305" s="9" t="s">
        <v>39</v>
      </c>
      <c r="E305" s="9" t="s">
        <v>1534</v>
      </c>
      <c r="F305" s="9"/>
      <c r="G305" s="9" t="s">
        <v>569</v>
      </c>
      <c r="H305" s="9" t="s">
        <v>438</v>
      </c>
      <c r="I305" s="9" t="s">
        <v>1535</v>
      </c>
      <c r="J305" s="9" t="s">
        <v>1536</v>
      </c>
      <c r="K305" s="9" t="s">
        <v>1537</v>
      </c>
      <c r="L305" s="9"/>
      <c r="M305" s="9"/>
      <c r="N305" s="9"/>
      <c r="O305" s="11" t="s">
        <v>101</v>
      </c>
      <c r="P305" s="12">
        <v>25.598822330000001</v>
      </c>
      <c r="Q305" s="12">
        <v>-103.40274404</v>
      </c>
      <c r="R305" s="9" t="s">
        <v>1538</v>
      </c>
      <c r="S305" s="13"/>
      <c r="T305" s="13"/>
      <c r="U305" s="13"/>
    </row>
    <row r="306" spans="1:21" x14ac:dyDescent="0.3">
      <c r="A306" s="9">
        <v>305</v>
      </c>
      <c r="B306" s="9" t="s">
        <v>39</v>
      </c>
      <c r="C306" s="9" t="s">
        <v>39</v>
      </c>
      <c r="D306" s="9" t="s">
        <v>39</v>
      </c>
      <c r="E306" s="9" t="s">
        <v>1539</v>
      </c>
      <c r="F306" s="9" t="s">
        <v>1540</v>
      </c>
      <c r="G306" s="9" t="s">
        <v>104</v>
      </c>
      <c r="H306" s="9" t="s">
        <v>97</v>
      </c>
      <c r="I306" s="9" t="s">
        <v>1541</v>
      </c>
      <c r="J306" s="9" t="s">
        <v>1372</v>
      </c>
      <c r="K306" s="9" t="s">
        <v>1169</v>
      </c>
      <c r="L306" s="9"/>
      <c r="M306" s="9"/>
      <c r="N306" s="9"/>
      <c r="O306" s="11" t="s">
        <v>101</v>
      </c>
      <c r="P306" s="12">
        <v>25.5157846</v>
      </c>
      <c r="Q306" s="12">
        <v>-103.39155873999999</v>
      </c>
      <c r="R306" s="9" t="s">
        <v>1542</v>
      </c>
      <c r="S306" s="13"/>
      <c r="T306" s="13"/>
      <c r="U306" s="13"/>
    </row>
    <row r="307" spans="1:21" x14ac:dyDescent="0.3">
      <c r="A307" s="9">
        <v>306</v>
      </c>
      <c r="B307" s="9" t="s">
        <v>39</v>
      </c>
      <c r="C307" s="9" t="s">
        <v>39</v>
      </c>
      <c r="D307" s="9" t="s">
        <v>39</v>
      </c>
      <c r="E307" s="9" t="s">
        <v>1543</v>
      </c>
      <c r="F307" s="9"/>
      <c r="G307" s="9" t="s">
        <v>104</v>
      </c>
      <c r="H307" s="9" t="s">
        <v>97</v>
      </c>
      <c r="I307" s="9" t="s">
        <v>1544</v>
      </c>
      <c r="J307" s="9" t="s">
        <v>1545</v>
      </c>
      <c r="K307" s="9" t="s">
        <v>1265</v>
      </c>
      <c r="L307" s="9"/>
      <c r="M307" s="9"/>
      <c r="N307" s="9"/>
      <c r="O307" s="11" t="s">
        <v>101</v>
      </c>
      <c r="P307" s="12">
        <v>25.539633559999999</v>
      </c>
      <c r="Q307" s="12">
        <v>-103.32798606</v>
      </c>
      <c r="R307" s="9" t="s">
        <v>1546</v>
      </c>
      <c r="S307" s="13"/>
      <c r="T307" s="13"/>
      <c r="U307" s="13"/>
    </row>
    <row r="308" spans="1:21" x14ac:dyDescent="0.3">
      <c r="A308" s="9">
        <v>307</v>
      </c>
      <c r="B308" s="9" t="s">
        <v>39</v>
      </c>
      <c r="C308" s="9" t="s">
        <v>39</v>
      </c>
      <c r="D308" s="9" t="s">
        <v>39</v>
      </c>
      <c r="E308" s="9" t="s">
        <v>1547</v>
      </c>
      <c r="F308" s="9"/>
      <c r="G308" s="9" t="s">
        <v>104</v>
      </c>
      <c r="H308" s="9" t="s">
        <v>97</v>
      </c>
      <c r="I308" s="9" t="s">
        <v>1544</v>
      </c>
      <c r="J308" s="9" t="s">
        <v>1355</v>
      </c>
      <c r="K308" s="9" t="s">
        <v>1356</v>
      </c>
      <c r="L308" s="9"/>
      <c r="M308" s="9"/>
      <c r="N308" s="9"/>
      <c r="O308" s="11" t="s">
        <v>101</v>
      </c>
      <c r="P308" s="12">
        <v>25.539609949999999</v>
      </c>
      <c r="Q308" s="12">
        <v>-103.35881164</v>
      </c>
      <c r="R308" s="9" t="s">
        <v>1548</v>
      </c>
      <c r="S308" s="13"/>
      <c r="T308" s="13"/>
      <c r="U308" s="13"/>
    </row>
    <row r="309" spans="1:21" x14ac:dyDescent="0.3">
      <c r="A309" s="9">
        <v>308</v>
      </c>
      <c r="B309" s="9" t="s">
        <v>39</v>
      </c>
      <c r="C309" s="9" t="s">
        <v>39</v>
      </c>
      <c r="D309" s="9" t="s">
        <v>39</v>
      </c>
      <c r="E309" s="9" t="s">
        <v>1547</v>
      </c>
      <c r="F309" s="9"/>
      <c r="G309" s="9" t="s">
        <v>104</v>
      </c>
      <c r="H309" s="9" t="s">
        <v>97</v>
      </c>
      <c r="I309" s="9" t="s">
        <v>1549</v>
      </c>
      <c r="J309" s="9" t="s">
        <v>1550</v>
      </c>
      <c r="K309" s="9" t="s">
        <v>1265</v>
      </c>
      <c r="L309" s="9"/>
      <c r="M309" s="9"/>
      <c r="N309" s="9"/>
      <c r="O309" s="11" t="s">
        <v>101</v>
      </c>
      <c r="P309" s="12">
        <v>25.54649392</v>
      </c>
      <c r="Q309" s="12">
        <v>-103.35926277999999</v>
      </c>
      <c r="R309" s="9" t="s">
        <v>1551</v>
      </c>
      <c r="S309" s="13"/>
      <c r="T309" s="13"/>
      <c r="U309" s="13"/>
    </row>
    <row r="310" spans="1:21" x14ac:dyDescent="0.3">
      <c r="A310" s="9">
        <v>309</v>
      </c>
      <c r="B310" s="9" t="s">
        <v>39</v>
      </c>
      <c r="C310" s="9" t="s">
        <v>39</v>
      </c>
      <c r="D310" s="9" t="s">
        <v>39</v>
      </c>
      <c r="E310" s="9" t="s">
        <v>1552</v>
      </c>
      <c r="F310" s="9" t="s">
        <v>1553</v>
      </c>
      <c r="G310" s="9" t="s">
        <v>569</v>
      </c>
      <c r="H310" s="9" t="s">
        <v>438</v>
      </c>
      <c r="I310" s="9" t="s">
        <v>1554</v>
      </c>
      <c r="J310" s="9" t="s">
        <v>1555</v>
      </c>
      <c r="K310" s="9" t="s">
        <v>1556</v>
      </c>
      <c r="L310" s="9"/>
      <c r="M310" s="9"/>
      <c r="N310" s="9"/>
      <c r="O310" s="11" t="s">
        <v>101</v>
      </c>
      <c r="P310" s="12">
        <v>25.601570880000001</v>
      </c>
      <c r="Q310" s="12">
        <v>-103.36828651</v>
      </c>
      <c r="R310" s="9" t="s">
        <v>1557</v>
      </c>
      <c r="S310" s="13"/>
      <c r="T310" s="13"/>
      <c r="U310" s="13"/>
    </row>
    <row r="311" spans="1:21" x14ac:dyDescent="0.3">
      <c r="A311" s="9">
        <v>310</v>
      </c>
      <c r="B311" s="9" t="s">
        <v>39</v>
      </c>
      <c r="C311" s="9" t="s">
        <v>39</v>
      </c>
      <c r="D311" s="9" t="s">
        <v>39</v>
      </c>
      <c r="E311" s="9" t="s">
        <v>1558</v>
      </c>
      <c r="F311" s="9"/>
      <c r="G311" s="9" t="s">
        <v>104</v>
      </c>
      <c r="H311" s="9" t="s">
        <v>97</v>
      </c>
      <c r="I311" s="9" t="s">
        <v>1559</v>
      </c>
      <c r="J311" s="9" t="s">
        <v>1224</v>
      </c>
      <c r="K311" s="9" t="s">
        <v>1225</v>
      </c>
      <c r="L311" s="9"/>
      <c r="M311" s="9"/>
      <c r="N311" s="9"/>
      <c r="O311" s="11" t="s">
        <v>101</v>
      </c>
      <c r="P311" s="12">
        <v>25.546489019999999</v>
      </c>
      <c r="Q311" s="12">
        <v>-103.34241368000001</v>
      </c>
      <c r="R311" s="9" t="s">
        <v>1560</v>
      </c>
      <c r="S311" s="13"/>
      <c r="T311" s="13"/>
      <c r="U311" s="13"/>
    </row>
    <row r="312" spans="1:21" x14ac:dyDescent="0.3">
      <c r="A312" s="9">
        <v>311</v>
      </c>
      <c r="B312" s="9" t="s">
        <v>39</v>
      </c>
      <c r="C312" s="9" t="s">
        <v>39</v>
      </c>
      <c r="D312" s="9" t="s">
        <v>39</v>
      </c>
      <c r="E312" s="9" t="s">
        <v>1561</v>
      </c>
      <c r="F312" s="9"/>
      <c r="G312" s="9" t="s">
        <v>104</v>
      </c>
      <c r="H312" s="9" t="s">
        <v>97</v>
      </c>
      <c r="I312" s="9" t="s">
        <v>1562</v>
      </c>
      <c r="J312" s="9" t="s">
        <v>1041</v>
      </c>
      <c r="K312" s="9" t="s">
        <v>1082</v>
      </c>
      <c r="L312" s="9"/>
      <c r="M312" s="9" t="s">
        <v>1563</v>
      </c>
      <c r="N312" s="9" t="s">
        <v>1564</v>
      </c>
      <c r="O312" s="11" t="s">
        <v>101</v>
      </c>
      <c r="P312" s="12">
        <v>25.548566770000001</v>
      </c>
      <c r="Q312" s="12">
        <v>-103.43433803000001</v>
      </c>
      <c r="R312" s="9" t="s">
        <v>1565</v>
      </c>
      <c r="S312" s="13"/>
      <c r="T312" s="13"/>
      <c r="U312" s="13"/>
    </row>
    <row r="313" spans="1:21" x14ac:dyDescent="0.3">
      <c r="A313" s="9">
        <v>312</v>
      </c>
      <c r="B313" s="9" t="s">
        <v>39</v>
      </c>
      <c r="C313" s="9" t="s">
        <v>39</v>
      </c>
      <c r="D313" s="9" t="s">
        <v>39</v>
      </c>
      <c r="E313" s="9" t="s">
        <v>1566</v>
      </c>
      <c r="F313" s="9"/>
      <c r="G313" s="9" t="s">
        <v>569</v>
      </c>
      <c r="H313" s="9" t="s">
        <v>97</v>
      </c>
      <c r="I313" s="9" t="s">
        <v>1567</v>
      </c>
      <c r="J313" s="9" t="s">
        <v>1041</v>
      </c>
      <c r="K313" s="9" t="s">
        <v>1082</v>
      </c>
      <c r="L313" s="9"/>
      <c r="M313" s="9"/>
      <c r="N313" s="9"/>
      <c r="O313" s="11" t="s">
        <v>101</v>
      </c>
      <c r="P313" s="12">
        <v>25.53676308</v>
      </c>
      <c r="Q313" s="12">
        <v>-103.44551662000001</v>
      </c>
      <c r="R313" s="9" t="s">
        <v>1568</v>
      </c>
      <c r="S313" s="13"/>
      <c r="T313" s="13"/>
      <c r="U313" s="13"/>
    </row>
    <row r="314" spans="1:21" x14ac:dyDescent="0.3">
      <c r="A314" s="9">
        <v>313</v>
      </c>
      <c r="B314" s="9" t="s">
        <v>39</v>
      </c>
      <c r="C314" s="9" t="s">
        <v>39</v>
      </c>
      <c r="D314" s="9" t="s">
        <v>39</v>
      </c>
      <c r="E314" s="9" t="s">
        <v>1569</v>
      </c>
      <c r="F314" s="9"/>
      <c r="G314" s="9" t="s">
        <v>104</v>
      </c>
      <c r="H314" s="9" t="s">
        <v>97</v>
      </c>
      <c r="I314" s="9" t="s">
        <v>1570</v>
      </c>
      <c r="J314" s="9" t="s">
        <v>1571</v>
      </c>
      <c r="K314" s="9" t="s">
        <v>1302</v>
      </c>
      <c r="L314" s="9" t="s">
        <v>1572</v>
      </c>
      <c r="M314" s="9"/>
      <c r="N314" s="9"/>
      <c r="O314" s="11" t="s">
        <v>101</v>
      </c>
      <c r="P314" s="12">
        <v>25.50525232</v>
      </c>
      <c r="Q314" s="12">
        <v>-103.35611876</v>
      </c>
      <c r="R314" s="9" t="s">
        <v>1573</v>
      </c>
      <c r="S314" s="13"/>
      <c r="T314" s="13"/>
      <c r="U314" s="13"/>
    </row>
    <row r="315" spans="1:21" x14ac:dyDescent="0.3">
      <c r="A315" s="9">
        <v>314</v>
      </c>
      <c r="B315" s="9" t="s">
        <v>39</v>
      </c>
      <c r="C315" s="9" t="s">
        <v>39</v>
      </c>
      <c r="D315" s="9" t="s">
        <v>39</v>
      </c>
      <c r="E315" s="9" t="s">
        <v>1574</v>
      </c>
      <c r="F315" s="9" t="s">
        <v>1016</v>
      </c>
      <c r="G315" s="9" t="s">
        <v>790</v>
      </c>
      <c r="H315" s="9" t="s">
        <v>438</v>
      </c>
      <c r="I315" s="9" t="s">
        <v>1575</v>
      </c>
      <c r="J315" s="9" t="s">
        <v>1041</v>
      </c>
      <c r="K315" s="9" t="s">
        <v>1082</v>
      </c>
      <c r="L315" s="9"/>
      <c r="M315" s="9" t="s">
        <v>1018</v>
      </c>
      <c r="N315" s="9"/>
      <c r="O315" s="11" t="s">
        <v>101</v>
      </c>
      <c r="P315" s="12">
        <v>25.552545599999998</v>
      </c>
      <c r="Q315" s="12">
        <v>-103.43555524</v>
      </c>
      <c r="R315" s="9" t="s">
        <v>1576</v>
      </c>
      <c r="S315" s="13"/>
      <c r="T315" s="13"/>
      <c r="U315" s="13"/>
    </row>
    <row r="316" spans="1:21" x14ac:dyDescent="0.3">
      <c r="A316" s="9">
        <v>315</v>
      </c>
      <c r="B316" s="9" t="s">
        <v>39</v>
      </c>
      <c r="C316" s="9" t="s">
        <v>39</v>
      </c>
      <c r="D316" s="9" t="s">
        <v>39</v>
      </c>
      <c r="E316" s="9" t="s">
        <v>1577</v>
      </c>
      <c r="F316" s="9" t="s">
        <v>1578</v>
      </c>
      <c r="G316" s="9" t="s">
        <v>790</v>
      </c>
      <c r="H316" s="9" t="s">
        <v>97</v>
      </c>
      <c r="I316" s="9" t="s">
        <v>1579</v>
      </c>
      <c r="J316" s="9" t="s">
        <v>1122</v>
      </c>
      <c r="K316" s="9" t="s">
        <v>1153</v>
      </c>
      <c r="L316" s="9"/>
      <c r="M316" s="9" t="s">
        <v>1580</v>
      </c>
      <c r="N316" s="9" t="s">
        <v>1581</v>
      </c>
      <c r="O316" s="11" t="s">
        <v>101</v>
      </c>
      <c r="P316" s="12">
        <v>25.52509921</v>
      </c>
      <c r="Q316" s="12">
        <v>-103.41524104</v>
      </c>
      <c r="R316" s="9" t="s">
        <v>1582</v>
      </c>
      <c r="S316" s="13"/>
      <c r="T316" s="13"/>
      <c r="U316" s="13"/>
    </row>
    <row r="317" spans="1:21" x14ac:dyDescent="0.3">
      <c r="A317" s="9">
        <v>316</v>
      </c>
      <c r="B317" s="9" t="s">
        <v>39</v>
      </c>
      <c r="C317" s="9" t="s">
        <v>39</v>
      </c>
      <c r="D317" s="9" t="s">
        <v>39</v>
      </c>
      <c r="E317" s="9" t="s">
        <v>1583</v>
      </c>
      <c r="F317" s="9"/>
      <c r="G317" s="9" t="s">
        <v>116</v>
      </c>
      <c r="H317" s="9" t="s">
        <v>97</v>
      </c>
      <c r="I317" s="9" t="s">
        <v>1584</v>
      </c>
      <c r="J317" s="9" t="s">
        <v>1122</v>
      </c>
      <c r="K317" s="9" t="s">
        <v>1123</v>
      </c>
      <c r="L317" s="9"/>
      <c r="M317" s="9"/>
      <c r="N317" s="9"/>
      <c r="O317" s="11" t="s">
        <v>101</v>
      </c>
      <c r="P317" s="12">
        <v>25.519175310000001</v>
      </c>
      <c r="Q317" s="12">
        <v>-103.40613231</v>
      </c>
      <c r="R317" s="9" t="s">
        <v>1585</v>
      </c>
      <c r="S317" s="13"/>
      <c r="T317" s="13"/>
      <c r="U317" s="13"/>
    </row>
    <row r="318" spans="1:21" x14ac:dyDescent="0.3">
      <c r="A318" s="9">
        <v>317</v>
      </c>
      <c r="B318" s="9" t="s">
        <v>39</v>
      </c>
      <c r="C318" s="9" t="s">
        <v>39</v>
      </c>
      <c r="D318" s="9" t="s">
        <v>39</v>
      </c>
      <c r="E318" s="9" t="s">
        <v>1586</v>
      </c>
      <c r="F318" s="9" t="s">
        <v>1587</v>
      </c>
      <c r="G318" s="9" t="s">
        <v>116</v>
      </c>
      <c r="H318" s="9" t="s">
        <v>97</v>
      </c>
      <c r="I318" s="9" t="s">
        <v>1588</v>
      </c>
      <c r="J318" s="9" t="s">
        <v>1093</v>
      </c>
      <c r="K318" s="9" t="s">
        <v>1077</v>
      </c>
      <c r="L318" s="9" t="s">
        <v>1589</v>
      </c>
      <c r="M318" s="9"/>
      <c r="N318" s="9"/>
      <c r="O318" s="11" t="s">
        <v>101</v>
      </c>
      <c r="P318" s="12">
        <v>25.56208934</v>
      </c>
      <c r="Q318" s="12">
        <v>-103.42585153</v>
      </c>
      <c r="R318" s="9" t="s">
        <v>1590</v>
      </c>
      <c r="S318" s="13"/>
      <c r="T318" s="13"/>
      <c r="U318" s="13"/>
    </row>
    <row r="319" spans="1:21" x14ac:dyDescent="0.3">
      <c r="A319" s="9">
        <v>318</v>
      </c>
      <c r="B319" s="9" t="s">
        <v>39</v>
      </c>
      <c r="C319" s="9" t="s">
        <v>39</v>
      </c>
      <c r="D319" s="9" t="s">
        <v>39</v>
      </c>
      <c r="E319" s="9" t="s">
        <v>1586</v>
      </c>
      <c r="F319" s="9"/>
      <c r="G319" s="9" t="s">
        <v>116</v>
      </c>
      <c r="H319" s="9" t="s">
        <v>438</v>
      </c>
      <c r="I319" s="9" t="s">
        <v>1591</v>
      </c>
      <c r="J319" s="9" t="s">
        <v>1592</v>
      </c>
      <c r="K319" s="9" t="s">
        <v>1593</v>
      </c>
      <c r="L319" s="9"/>
      <c r="M319" s="9"/>
      <c r="N319" s="9"/>
      <c r="O319" s="11" t="s">
        <v>101</v>
      </c>
      <c r="P319" s="12">
        <v>25.530000179999998</v>
      </c>
      <c r="Q319" s="12">
        <v>-103.43127115999999</v>
      </c>
      <c r="R319" s="9" t="s">
        <v>1594</v>
      </c>
      <c r="S319" s="13"/>
      <c r="T319" s="13"/>
      <c r="U319" s="13"/>
    </row>
    <row r="320" spans="1:21" x14ac:dyDescent="0.3">
      <c r="A320" s="9">
        <v>319</v>
      </c>
      <c r="B320" s="9" t="s">
        <v>39</v>
      </c>
      <c r="C320" s="9" t="s">
        <v>39</v>
      </c>
      <c r="D320" s="9" t="s">
        <v>39</v>
      </c>
      <c r="E320" s="9" t="s">
        <v>1595</v>
      </c>
      <c r="F320" s="9"/>
      <c r="G320" s="9" t="s">
        <v>116</v>
      </c>
      <c r="H320" s="9" t="s">
        <v>97</v>
      </c>
      <c r="I320" s="9" t="s">
        <v>1596</v>
      </c>
      <c r="J320" s="9" t="s">
        <v>1103</v>
      </c>
      <c r="K320" s="9" t="s">
        <v>1104</v>
      </c>
      <c r="L320" s="9" t="s">
        <v>1597</v>
      </c>
      <c r="M320" s="9"/>
      <c r="N320" s="9"/>
      <c r="O320" s="11" t="s">
        <v>101</v>
      </c>
      <c r="P320" s="12">
        <v>25.523190360000001</v>
      </c>
      <c r="Q320" s="12">
        <v>-103.40241593</v>
      </c>
      <c r="R320" s="9" t="s">
        <v>1598</v>
      </c>
      <c r="S320" s="13"/>
      <c r="T320" s="13"/>
      <c r="U320" s="13"/>
    </row>
    <row r="321" spans="1:21" x14ac:dyDescent="0.3">
      <c r="A321" s="9">
        <v>320</v>
      </c>
      <c r="B321" s="9" t="s">
        <v>39</v>
      </c>
      <c r="C321" s="9" t="s">
        <v>39</v>
      </c>
      <c r="D321" s="9" t="s">
        <v>39</v>
      </c>
      <c r="E321" s="9" t="s">
        <v>1599</v>
      </c>
      <c r="F321" s="9" t="s">
        <v>1599</v>
      </c>
      <c r="G321" s="9" t="s">
        <v>116</v>
      </c>
      <c r="H321" s="9" t="s">
        <v>97</v>
      </c>
      <c r="I321" s="9" t="s">
        <v>1600</v>
      </c>
      <c r="J321" s="9" t="s">
        <v>1601</v>
      </c>
      <c r="K321" s="9" t="s">
        <v>1527</v>
      </c>
      <c r="L321" s="9" t="s">
        <v>1602</v>
      </c>
      <c r="M321" s="9"/>
      <c r="N321" s="9"/>
      <c r="O321" s="11" t="s">
        <v>101</v>
      </c>
      <c r="P321" s="12">
        <v>25.541954690000001</v>
      </c>
      <c r="Q321" s="12">
        <v>-103.4670558</v>
      </c>
      <c r="R321" s="9" t="s">
        <v>1603</v>
      </c>
      <c r="S321" s="13"/>
      <c r="T321" s="13"/>
      <c r="U321" s="13"/>
    </row>
    <row r="322" spans="1:21" x14ac:dyDescent="0.3">
      <c r="A322" s="9">
        <v>321</v>
      </c>
      <c r="B322" s="9" t="s">
        <v>39</v>
      </c>
      <c r="C322" s="9" t="s">
        <v>39</v>
      </c>
      <c r="D322" s="9" t="s">
        <v>39</v>
      </c>
      <c r="E322" s="9" t="s">
        <v>1604</v>
      </c>
      <c r="F322" s="9"/>
      <c r="G322" s="9" t="s">
        <v>116</v>
      </c>
      <c r="H322" s="9" t="s">
        <v>97</v>
      </c>
      <c r="I322" s="9" t="s">
        <v>1605</v>
      </c>
      <c r="J322" s="9" t="s">
        <v>1606</v>
      </c>
      <c r="K322" s="9" t="s">
        <v>1123</v>
      </c>
      <c r="L322" s="9" t="s">
        <v>1607</v>
      </c>
      <c r="M322" s="9"/>
      <c r="N322" s="9"/>
      <c r="O322" s="11" t="s">
        <v>101</v>
      </c>
      <c r="P322" s="12">
        <v>25.513815520000001</v>
      </c>
      <c r="Q322" s="12">
        <v>-103.40200056</v>
      </c>
      <c r="R322" s="9" t="s">
        <v>1608</v>
      </c>
      <c r="S322" s="13"/>
      <c r="T322" s="13"/>
      <c r="U322" s="13"/>
    </row>
    <row r="323" spans="1:21" x14ac:dyDescent="0.3">
      <c r="A323" s="9">
        <v>322</v>
      </c>
      <c r="B323" s="9" t="s">
        <v>39</v>
      </c>
      <c r="C323" s="9" t="s">
        <v>39</v>
      </c>
      <c r="D323" s="9" t="s">
        <v>39</v>
      </c>
      <c r="E323" s="9" t="s">
        <v>1609</v>
      </c>
      <c r="F323" s="9"/>
      <c r="G323" s="9" t="s">
        <v>116</v>
      </c>
      <c r="H323" s="9" t="s">
        <v>97</v>
      </c>
      <c r="I323" s="9" t="s">
        <v>1610</v>
      </c>
      <c r="J323" s="9" t="s">
        <v>1316</v>
      </c>
      <c r="K323" s="9" t="s">
        <v>1317</v>
      </c>
      <c r="L323" s="9"/>
      <c r="M323" s="9"/>
      <c r="N323" s="9"/>
      <c r="O323" s="11" t="s">
        <v>101</v>
      </c>
      <c r="P323" s="12">
        <v>25.5131242</v>
      </c>
      <c r="Q323" s="12">
        <v>-103.40983434</v>
      </c>
      <c r="R323" s="9" t="s">
        <v>1611</v>
      </c>
      <c r="S323" s="13"/>
      <c r="T323" s="13"/>
      <c r="U323" s="13"/>
    </row>
    <row r="324" spans="1:21" x14ac:dyDescent="0.3">
      <c r="A324" s="9">
        <v>323</v>
      </c>
      <c r="B324" s="9" t="s">
        <v>39</v>
      </c>
      <c r="C324" s="9" t="s">
        <v>39</v>
      </c>
      <c r="D324" s="9" t="s">
        <v>39</v>
      </c>
      <c r="E324" s="9" t="s">
        <v>1612</v>
      </c>
      <c r="F324" s="9"/>
      <c r="G324" s="9" t="s">
        <v>116</v>
      </c>
      <c r="H324" s="9" t="s">
        <v>97</v>
      </c>
      <c r="I324" s="9" t="s">
        <v>1613</v>
      </c>
      <c r="J324" s="9" t="s">
        <v>1316</v>
      </c>
      <c r="K324" s="9" t="s">
        <v>1614</v>
      </c>
      <c r="L324" s="9" t="s">
        <v>1572</v>
      </c>
      <c r="M324" s="9"/>
      <c r="N324" s="9"/>
      <c r="O324" s="11" t="s">
        <v>101</v>
      </c>
      <c r="P324" s="12">
        <v>25.516091620000001</v>
      </c>
      <c r="Q324" s="12">
        <v>-103.42157455</v>
      </c>
      <c r="R324" s="9" t="s">
        <v>1615</v>
      </c>
      <c r="S324" s="13"/>
      <c r="T324" s="13"/>
      <c r="U324" s="13"/>
    </row>
    <row r="325" spans="1:21" x14ac:dyDescent="0.3">
      <c r="A325" s="9">
        <v>324</v>
      </c>
      <c r="B325" s="9" t="s">
        <v>39</v>
      </c>
      <c r="C325" s="9" t="s">
        <v>39</v>
      </c>
      <c r="D325" s="9" t="s">
        <v>39</v>
      </c>
      <c r="E325" s="9" t="s">
        <v>1616</v>
      </c>
      <c r="F325" s="9"/>
      <c r="G325" s="9" t="s">
        <v>116</v>
      </c>
      <c r="H325" s="9" t="s">
        <v>97</v>
      </c>
      <c r="I325" s="9" t="s">
        <v>1617</v>
      </c>
      <c r="J325" s="9" t="s">
        <v>1618</v>
      </c>
      <c r="K325" s="9" t="s">
        <v>1153</v>
      </c>
      <c r="L325" s="9"/>
      <c r="M325" s="9"/>
      <c r="N325" s="9"/>
      <c r="O325" s="11" t="s">
        <v>101</v>
      </c>
      <c r="P325" s="12">
        <v>25.559079189999999</v>
      </c>
      <c r="Q325" s="12">
        <v>-103.39482314999999</v>
      </c>
      <c r="R325" s="9" t="s">
        <v>1619</v>
      </c>
      <c r="S325" s="13"/>
      <c r="T325" s="13"/>
      <c r="U325" s="13"/>
    </row>
    <row r="326" spans="1:21" x14ac:dyDescent="0.3">
      <c r="A326" s="9">
        <v>325</v>
      </c>
      <c r="B326" s="9" t="s">
        <v>39</v>
      </c>
      <c r="C326" s="9" t="s">
        <v>39</v>
      </c>
      <c r="D326" s="9" t="s">
        <v>39</v>
      </c>
      <c r="E326" s="9" t="s">
        <v>1620</v>
      </c>
      <c r="F326" s="9"/>
      <c r="G326" s="9" t="s">
        <v>104</v>
      </c>
      <c r="H326" s="9" t="s">
        <v>97</v>
      </c>
      <c r="I326" s="9" t="s">
        <v>1621</v>
      </c>
      <c r="J326" s="9" t="s">
        <v>1041</v>
      </c>
      <c r="K326" s="9" t="s">
        <v>1082</v>
      </c>
      <c r="L326" s="9" t="s">
        <v>1622</v>
      </c>
      <c r="M326" s="9"/>
      <c r="N326" s="9"/>
      <c r="O326" s="11" t="s">
        <v>101</v>
      </c>
      <c r="P326" s="12">
        <v>25.538762949999999</v>
      </c>
      <c r="Q326" s="12">
        <v>-103.41396061</v>
      </c>
      <c r="R326" s="9" t="s">
        <v>1623</v>
      </c>
      <c r="S326" s="13"/>
      <c r="T326" s="13"/>
      <c r="U326" s="13"/>
    </row>
    <row r="327" spans="1:21" x14ac:dyDescent="0.3">
      <c r="A327" s="9">
        <v>326</v>
      </c>
      <c r="B327" s="9" t="s">
        <v>39</v>
      </c>
      <c r="C327" s="9" t="s">
        <v>39</v>
      </c>
      <c r="D327" s="9" t="s">
        <v>39</v>
      </c>
      <c r="E327" s="9" t="s">
        <v>1624</v>
      </c>
      <c r="F327" s="9" t="s">
        <v>1625</v>
      </c>
      <c r="G327" s="9" t="s">
        <v>34</v>
      </c>
      <c r="H327" s="9" t="s">
        <v>97</v>
      </c>
      <c r="I327" s="9" t="s">
        <v>1626</v>
      </c>
      <c r="J327" s="9" t="s">
        <v>1627</v>
      </c>
      <c r="K327" s="9" t="s">
        <v>1249</v>
      </c>
      <c r="L327" s="9" t="s">
        <v>1628</v>
      </c>
      <c r="M327" s="9"/>
      <c r="N327" s="9"/>
      <c r="O327" s="11" t="s">
        <v>101</v>
      </c>
      <c r="P327" s="12">
        <v>25.555691159999999</v>
      </c>
      <c r="Q327" s="12">
        <v>-103.44202864</v>
      </c>
      <c r="R327" s="9" t="s">
        <v>1629</v>
      </c>
      <c r="S327" s="13"/>
      <c r="T327" s="13"/>
      <c r="U327" s="13"/>
    </row>
    <row r="328" spans="1:21" x14ac:dyDescent="0.3">
      <c r="A328" s="9">
        <v>327</v>
      </c>
      <c r="B328" s="9" t="s">
        <v>39</v>
      </c>
      <c r="C328" s="9" t="s">
        <v>39</v>
      </c>
      <c r="D328" s="9" t="s">
        <v>39</v>
      </c>
      <c r="E328" s="9" t="s">
        <v>1630</v>
      </c>
      <c r="F328" s="9"/>
      <c r="G328" s="9" t="s">
        <v>116</v>
      </c>
      <c r="H328" s="9" t="s">
        <v>97</v>
      </c>
      <c r="I328" s="9" t="s">
        <v>1631</v>
      </c>
      <c r="J328" s="9" t="s">
        <v>1439</v>
      </c>
      <c r="K328" s="9" t="s">
        <v>1249</v>
      </c>
      <c r="L328" s="9" t="s">
        <v>1632</v>
      </c>
      <c r="M328" s="9"/>
      <c r="N328" s="9"/>
      <c r="O328" s="11" t="s">
        <v>101</v>
      </c>
      <c r="P328" s="12">
        <v>25.54999797</v>
      </c>
      <c r="Q328" s="12">
        <v>-103.44925259999999</v>
      </c>
      <c r="R328" s="9" t="s">
        <v>1633</v>
      </c>
      <c r="S328" s="13"/>
      <c r="T328" s="13"/>
      <c r="U328" s="13"/>
    </row>
    <row r="329" spans="1:21" x14ac:dyDescent="0.3">
      <c r="A329" s="9">
        <v>328</v>
      </c>
      <c r="B329" s="9" t="s">
        <v>39</v>
      </c>
      <c r="C329" s="9" t="s">
        <v>39</v>
      </c>
      <c r="D329" s="9" t="s">
        <v>39</v>
      </c>
      <c r="E329" s="9" t="s">
        <v>1634</v>
      </c>
      <c r="F329" s="9" t="s">
        <v>1635</v>
      </c>
      <c r="G329" s="9" t="s">
        <v>790</v>
      </c>
      <c r="H329" s="9" t="s">
        <v>967</v>
      </c>
      <c r="I329" s="9" t="s">
        <v>1636</v>
      </c>
      <c r="J329" s="9" t="s">
        <v>1637</v>
      </c>
      <c r="K329" s="9" t="s">
        <v>1480</v>
      </c>
      <c r="L329" s="9"/>
      <c r="M329" s="9"/>
      <c r="N329" s="9" t="s">
        <v>1638</v>
      </c>
      <c r="O329" s="11" t="s">
        <v>101</v>
      </c>
      <c r="P329" s="12">
        <v>25.562645849999999</v>
      </c>
      <c r="Q329" s="12">
        <v>-103.43114457</v>
      </c>
      <c r="R329" s="9" t="s">
        <v>1639</v>
      </c>
      <c r="S329" s="13"/>
      <c r="T329" s="13"/>
      <c r="U329" s="13"/>
    </row>
    <row r="330" spans="1:21" x14ac:dyDescent="0.3">
      <c r="A330" s="9">
        <v>329</v>
      </c>
      <c r="B330" s="9" t="s">
        <v>39</v>
      </c>
      <c r="C330" s="9" t="s">
        <v>39</v>
      </c>
      <c r="D330" s="9" t="s">
        <v>39</v>
      </c>
      <c r="E330" s="9" t="s">
        <v>1640</v>
      </c>
      <c r="F330" s="9"/>
      <c r="G330" s="9" t="s">
        <v>34</v>
      </c>
      <c r="H330" s="9" t="s">
        <v>97</v>
      </c>
      <c r="I330" s="9" t="s">
        <v>1641</v>
      </c>
      <c r="J330" s="9" t="s">
        <v>1642</v>
      </c>
      <c r="K330" s="9" t="s">
        <v>1175</v>
      </c>
      <c r="L330" s="9" t="s">
        <v>1643</v>
      </c>
      <c r="M330" s="9" t="s">
        <v>1644</v>
      </c>
      <c r="N330" s="9"/>
      <c r="O330" s="11" t="s">
        <v>101</v>
      </c>
      <c r="P330" s="12">
        <v>25.596315560000001</v>
      </c>
      <c r="Q330" s="12">
        <v>-103.41331056</v>
      </c>
      <c r="R330" s="9" t="s">
        <v>1645</v>
      </c>
      <c r="S330" s="13"/>
      <c r="T330" s="13"/>
      <c r="U330" s="13"/>
    </row>
    <row r="331" spans="1:21" x14ac:dyDescent="0.3">
      <c r="A331" s="9">
        <v>330</v>
      </c>
      <c r="B331" s="9" t="s">
        <v>39</v>
      </c>
      <c r="C331" s="9" t="s">
        <v>39</v>
      </c>
      <c r="D331" s="9" t="s">
        <v>39</v>
      </c>
      <c r="E331" s="9" t="s">
        <v>1646</v>
      </c>
      <c r="F331" s="9"/>
      <c r="G331" s="9" t="s">
        <v>569</v>
      </c>
      <c r="H331" s="9" t="s">
        <v>97</v>
      </c>
      <c r="I331" s="9" t="s">
        <v>1647</v>
      </c>
      <c r="J331" s="9" t="s">
        <v>1648</v>
      </c>
      <c r="K331" s="9" t="s">
        <v>1134</v>
      </c>
      <c r="L331" s="9"/>
      <c r="M331" s="9"/>
      <c r="N331" s="9"/>
      <c r="O331" s="11" t="s">
        <v>101</v>
      </c>
      <c r="P331" s="12">
        <v>25.567149149999999</v>
      </c>
      <c r="Q331" s="12">
        <v>-103.38322356</v>
      </c>
      <c r="R331" s="9" t="s">
        <v>1649</v>
      </c>
      <c r="S331" s="13"/>
      <c r="T331" s="13"/>
      <c r="U331" s="13"/>
    </row>
    <row r="332" spans="1:21" x14ac:dyDescent="0.3">
      <c r="A332" s="9">
        <v>331</v>
      </c>
      <c r="B332" s="9" t="s">
        <v>39</v>
      </c>
      <c r="C332" s="9" t="s">
        <v>39</v>
      </c>
      <c r="D332" s="9" t="s">
        <v>39</v>
      </c>
      <c r="E332" s="9" t="s">
        <v>1650</v>
      </c>
      <c r="F332" s="9"/>
      <c r="G332" s="9" t="s">
        <v>790</v>
      </c>
      <c r="H332" s="9" t="s">
        <v>97</v>
      </c>
      <c r="I332" s="9" t="s">
        <v>1651</v>
      </c>
      <c r="J332" s="9" t="s">
        <v>1652</v>
      </c>
      <c r="K332" s="9" t="s">
        <v>1653</v>
      </c>
      <c r="L332" s="9" t="s">
        <v>1654</v>
      </c>
      <c r="M332" s="9"/>
      <c r="N332" s="9"/>
      <c r="O332" s="11" t="s">
        <v>101</v>
      </c>
      <c r="P332" s="12">
        <v>25.51568756</v>
      </c>
      <c r="Q332" s="12">
        <v>-103.39127166</v>
      </c>
      <c r="R332" s="9" t="s">
        <v>1655</v>
      </c>
      <c r="S332" s="13"/>
      <c r="T332" s="13"/>
      <c r="U332" s="13"/>
    </row>
    <row r="333" spans="1:21" x14ac:dyDescent="0.3">
      <c r="A333" s="9">
        <v>332</v>
      </c>
      <c r="B333" s="9" t="s">
        <v>39</v>
      </c>
      <c r="C333" s="9" t="s">
        <v>39</v>
      </c>
      <c r="D333" s="9" t="s">
        <v>39</v>
      </c>
      <c r="E333" s="9" t="s">
        <v>1650</v>
      </c>
      <c r="F333" s="9"/>
      <c r="G333" s="9" t="s">
        <v>790</v>
      </c>
      <c r="H333" s="9" t="s">
        <v>97</v>
      </c>
      <c r="I333" s="9" t="s">
        <v>1656</v>
      </c>
      <c r="J333" s="9" t="s">
        <v>1041</v>
      </c>
      <c r="K333" s="9" t="s">
        <v>1082</v>
      </c>
      <c r="L333" s="9"/>
      <c r="M333" s="9"/>
      <c r="N333" s="9"/>
      <c r="O333" s="11" t="s">
        <v>101</v>
      </c>
      <c r="P333" s="12">
        <v>25.546838910000002</v>
      </c>
      <c r="Q333" s="12">
        <v>-103.43697134</v>
      </c>
      <c r="R333" s="9" t="s">
        <v>1657</v>
      </c>
      <c r="S333" s="13"/>
      <c r="T333" s="13"/>
      <c r="U333" s="13"/>
    </row>
    <row r="334" spans="1:21" x14ac:dyDescent="0.3">
      <c r="A334" s="9">
        <v>333</v>
      </c>
      <c r="B334" s="9" t="s">
        <v>39</v>
      </c>
      <c r="C334" s="9" t="s">
        <v>39</v>
      </c>
      <c r="D334" s="9" t="s">
        <v>39</v>
      </c>
      <c r="E334" s="9" t="s">
        <v>1658</v>
      </c>
      <c r="F334" s="9" t="s">
        <v>1659</v>
      </c>
      <c r="G334" s="9" t="s">
        <v>790</v>
      </c>
      <c r="H334" s="9" t="s">
        <v>97</v>
      </c>
      <c r="I334" s="9" t="s">
        <v>1660</v>
      </c>
      <c r="J334" s="9" t="s">
        <v>1592</v>
      </c>
      <c r="K334" s="9" t="s">
        <v>1593</v>
      </c>
      <c r="L334" s="9"/>
      <c r="M334" s="9" t="s">
        <v>1078</v>
      </c>
      <c r="N334" s="9"/>
      <c r="O334" s="11" t="s">
        <v>101</v>
      </c>
      <c r="P334" s="12">
        <v>25.535444200000001</v>
      </c>
      <c r="Q334" s="12">
        <v>-103.41797848</v>
      </c>
      <c r="R334" s="9" t="s">
        <v>1661</v>
      </c>
      <c r="S334" s="13"/>
      <c r="T334" s="13"/>
      <c r="U334" s="13"/>
    </row>
    <row r="335" spans="1:21" x14ac:dyDescent="0.3">
      <c r="A335" s="9">
        <v>334</v>
      </c>
      <c r="B335" s="9" t="s">
        <v>39</v>
      </c>
      <c r="C335" s="9" t="s">
        <v>39</v>
      </c>
      <c r="D335" s="9" t="s">
        <v>39</v>
      </c>
      <c r="E335" s="9" t="s">
        <v>1662</v>
      </c>
      <c r="F335" s="9" t="s">
        <v>1663</v>
      </c>
      <c r="G335" s="9" t="s">
        <v>790</v>
      </c>
      <c r="H335" s="9" t="s">
        <v>97</v>
      </c>
      <c r="I335" s="9" t="s">
        <v>1664</v>
      </c>
      <c r="J335" s="9" t="s">
        <v>1041</v>
      </c>
      <c r="K335" s="9" t="s">
        <v>1082</v>
      </c>
      <c r="L335" s="9" t="s">
        <v>1665</v>
      </c>
      <c r="M335" s="9"/>
      <c r="N335" s="9"/>
      <c r="O335" s="11" t="s">
        <v>101</v>
      </c>
      <c r="P335" s="12">
        <v>25.54488881</v>
      </c>
      <c r="Q335" s="12">
        <v>-103.42827045</v>
      </c>
      <c r="R335" s="9" t="s">
        <v>1666</v>
      </c>
      <c r="S335" s="13"/>
      <c r="T335" s="13"/>
      <c r="U335" s="13"/>
    </row>
    <row r="336" spans="1:21" x14ac:dyDescent="0.3">
      <c r="A336" s="9">
        <v>335</v>
      </c>
      <c r="B336" s="9" t="s">
        <v>39</v>
      </c>
      <c r="C336" s="9" t="s">
        <v>39</v>
      </c>
      <c r="D336" s="9" t="s">
        <v>39</v>
      </c>
      <c r="E336" s="9" t="s">
        <v>789</v>
      </c>
      <c r="F336" s="9"/>
      <c r="G336" s="9" t="s">
        <v>790</v>
      </c>
      <c r="H336" s="9" t="s">
        <v>97</v>
      </c>
      <c r="I336" s="9" t="s">
        <v>1667</v>
      </c>
      <c r="J336" s="9" t="s">
        <v>1041</v>
      </c>
      <c r="K336" s="9" t="s">
        <v>1082</v>
      </c>
      <c r="L336" s="9" t="s">
        <v>1668</v>
      </c>
      <c r="M336" s="9"/>
      <c r="N336" s="9"/>
      <c r="O336" s="11" t="s">
        <v>101</v>
      </c>
      <c r="P336" s="12">
        <v>25.540280970000001</v>
      </c>
      <c r="Q336" s="12">
        <v>-103.45469677</v>
      </c>
      <c r="R336" s="9" t="s">
        <v>1669</v>
      </c>
      <c r="S336" s="13"/>
      <c r="T336" s="13"/>
      <c r="U336" s="13"/>
    </row>
    <row r="337" spans="1:21" x14ac:dyDescent="0.3">
      <c r="A337" s="9">
        <v>336</v>
      </c>
      <c r="B337" s="9" t="s">
        <v>39</v>
      </c>
      <c r="C337" s="9" t="s">
        <v>39</v>
      </c>
      <c r="D337" s="9" t="s">
        <v>39</v>
      </c>
      <c r="E337" s="9" t="s">
        <v>1670</v>
      </c>
      <c r="F337" s="9"/>
      <c r="G337" s="9" t="s">
        <v>790</v>
      </c>
      <c r="H337" s="9" t="s">
        <v>97</v>
      </c>
      <c r="I337" s="9" t="s">
        <v>1671</v>
      </c>
      <c r="J337" s="9" t="s">
        <v>1041</v>
      </c>
      <c r="K337" s="9" t="s">
        <v>1082</v>
      </c>
      <c r="L337" s="9"/>
      <c r="M337" s="9" t="s">
        <v>1672</v>
      </c>
      <c r="N337" s="9"/>
      <c r="O337" s="11" t="s">
        <v>101</v>
      </c>
      <c r="P337" s="12">
        <v>25.538698709999998</v>
      </c>
      <c r="Q337" s="12">
        <v>-103.45699634</v>
      </c>
      <c r="R337" s="9" t="s">
        <v>1673</v>
      </c>
      <c r="S337" s="13"/>
      <c r="T337" s="13"/>
      <c r="U337" s="13"/>
    </row>
    <row r="338" spans="1:21" x14ac:dyDescent="0.3">
      <c r="A338" s="9">
        <v>337</v>
      </c>
      <c r="B338" s="9" t="s">
        <v>39</v>
      </c>
      <c r="C338" s="9" t="s">
        <v>39</v>
      </c>
      <c r="D338" s="9" t="s">
        <v>39</v>
      </c>
      <c r="E338" s="9" t="s">
        <v>801</v>
      </c>
      <c r="F338" s="9" t="s">
        <v>1016</v>
      </c>
      <c r="G338" s="9" t="s">
        <v>790</v>
      </c>
      <c r="H338" s="9" t="s">
        <v>438</v>
      </c>
      <c r="I338" s="9" t="s">
        <v>1674</v>
      </c>
      <c r="J338" s="9" t="s">
        <v>1122</v>
      </c>
      <c r="K338" s="9" t="s">
        <v>1123</v>
      </c>
      <c r="L338" s="9"/>
      <c r="M338" s="9" t="s">
        <v>1018</v>
      </c>
      <c r="N338" s="9" t="s">
        <v>1675</v>
      </c>
      <c r="O338" s="11" t="s">
        <v>101</v>
      </c>
      <c r="P338" s="12">
        <v>25.521528119999999</v>
      </c>
      <c r="Q338" s="12">
        <v>-103.40611662000001</v>
      </c>
      <c r="R338" s="9" t="s">
        <v>1676</v>
      </c>
      <c r="S338" s="13"/>
      <c r="T338" s="13"/>
      <c r="U338" s="13"/>
    </row>
    <row r="339" spans="1:21" x14ac:dyDescent="0.3">
      <c r="A339" s="9">
        <v>338</v>
      </c>
      <c r="B339" s="9" t="s">
        <v>39</v>
      </c>
      <c r="C339" s="9" t="s">
        <v>39</v>
      </c>
      <c r="D339" s="9" t="s">
        <v>39</v>
      </c>
      <c r="E339" s="9" t="s">
        <v>801</v>
      </c>
      <c r="F339" s="9"/>
      <c r="G339" s="9" t="s">
        <v>790</v>
      </c>
      <c r="H339" s="9" t="s">
        <v>438</v>
      </c>
      <c r="I339" s="9" t="s">
        <v>1677</v>
      </c>
      <c r="J339" s="9" t="s">
        <v>1648</v>
      </c>
      <c r="K339" s="9" t="s">
        <v>1134</v>
      </c>
      <c r="L339" s="9" t="s">
        <v>1678</v>
      </c>
      <c r="M339" s="9" t="s">
        <v>1018</v>
      </c>
      <c r="N339" s="9" t="s">
        <v>1679</v>
      </c>
      <c r="O339" s="11" t="s">
        <v>101</v>
      </c>
      <c r="P339" s="12">
        <v>25.56733024</v>
      </c>
      <c r="Q339" s="12">
        <v>-103.38326657</v>
      </c>
      <c r="R339" s="9" t="s">
        <v>1680</v>
      </c>
      <c r="S339" s="13"/>
      <c r="T339" s="13"/>
      <c r="U339" s="13"/>
    </row>
    <row r="340" spans="1:21" x14ac:dyDescent="0.3">
      <c r="A340" s="9">
        <v>339</v>
      </c>
      <c r="B340" s="9" t="s">
        <v>39</v>
      </c>
      <c r="C340" s="9" t="s">
        <v>39</v>
      </c>
      <c r="D340" s="9" t="s">
        <v>39</v>
      </c>
      <c r="E340" s="9" t="s">
        <v>801</v>
      </c>
      <c r="F340" s="9" t="s">
        <v>1016</v>
      </c>
      <c r="G340" s="9" t="s">
        <v>790</v>
      </c>
      <c r="H340" s="9" t="s">
        <v>438</v>
      </c>
      <c r="I340" s="9" t="s">
        <v>1681</v>
      </c>
      <c r="J340" s="9" t="s">
        <v>1682</v>
      </c>
      <c r="K340" s="9" t="s">
        <v>1175</v>
      </c>
      <c r="L340" s="9"/>
      <c r="M340" s="9" t="s">
        <v>1018</v>
      </c>
      <c r="N340" s="9"/>
      <c r="O340" s="11" t="s">
        <v>101</v>
      </c>
      <c r="P340" s="12">
        <v>25.602321249999999</v>
      </c>
      <c r="Q340" s="12">
        <v>-103.40099214</v>
      </c>
      <c r="R340" s="9" t="s">
        <v>1683</v>
      </c>
      <c r="S340" s="13"/>
      <c r="T340" s="13"/>
      <c r="U340" s="13"/>
    </row>
    <row r="341" spans="1:21" x14ac:dyDescent="0.3">
      <c r="A341" s="9">
        <v>340</v>
      </c>
      <c r="B341" s="9" t="s">
        <v>39</v>
      </c>
      <c r="C341" s="9" t="s">
        <v>39</v>
      </c>
      <c r="D341" s="9" t="s">
        <v>39</v>
      </c>
      <c r="E341" s="9" t="s">
        <v>801</v>
      </c>
      <c r="F341" s="9" t="s">
        <v>1016</v>
      </c>
      <c r="G341" s="9" t="s">
        <v>790</v>
      </c>
      <c r="H341" s="9" t="s">
        <v>97</v>
      </c>
      <c r="I341" s="9" t="s">
        <v>1684</v>
      </c>
      <c r="J341" s="9" t="s">
        <v>1188</v>
      </c>
      <c r="K341" s="9" t="s">
        <v>1116</v>
      </c>
      <c r="L341" s="9"/>
      <c r="M341" s="9" t="s">
        <v>1018</v>
      </c>
      <c r="N341" s="9"/>
      <c r="O341" s="11" t="s">
        <v>101</v>
      </c>
      <c r="P341" s="12">
        <v>25.57613928</v>
      </c>
      <c r="Q341" s="12">
        <v>-103.41202305</v>
      </c>
      <c r="R341" s="9" t="s">
        <v>1685</v>
      </c>
      <c r="S341" s="13"/>
      <c r="T341" s="13"/>
      <c r="U341" s="13"/>
    </row>
    <row r="342" spans="1:21" x14ac:dyDescent="0.3">
      <c r="A342" s="9">
        <v>341</v>
      </c>
      <c r="B342" s="9" t="s">
        <v>39</v>
      </c>
      <c r="C342" s="9" t="s">
        <v>39</v>
      </c>
      <c r="D342" s="9" t="s">
        <v>39</v>
      </c>
      <c r="E342" s="9" t="s">
        <v>801</v>
      </c>
      <c r="F342" s="9" t="s">
        <v>1016</v>
      </c>
      <c r="G342" s="9" t="s">
        <v>790</v>
      </c>
      <c r="H342" s="9" t="s">
        <v>97</v>
      </c>
      <c r="I342" s="9" t="s">
        <v>1686</v>
      </c>
      <c r="J342" s="9" t="s">
        <v>1687</v>
      </c>
      <c r="K342" s="9" t="s">
        <v>1123</v>
      </c>
      <c r="L342" s="9"/>
      <c r="M342" s="9" t="s">
        <v>1018</v>
      </c>
      <c r="N342" s="9"/>
      <c r="O342" s="11" t="s">
        <v>101</v>
      </c>
      <c r="P342" s="12">
        <v>25.526931170000001</v>
      </c>
      <c r="Q342" s="12">
        <v>-103.41546101</v>
      </c>
      <c r="R342" s="9" t="s">
        <v>1688</v>
      </c>
      <c r="S342" s="13"/>
      <c r="T342" s="13"/>
      <c r="U342" s="13"/>
    </row>
    <row r="343" spans="1:21" x14ac:dyDescent="0.3">
      <c r="A343" s="9">
        <v>342</v>
      </c>
      <c r="B343" s="9" t="s">
        <v>39</v>
      </c>
      <c r="C343" s="9" t="s">
        <v>39</v>
      </c>
      <c r="D343" s="9" t="s">
        <v>39</v>
      </c>
      <c r="E343" s="9" t="s">
        <v>801</v>
      </c>
      <c r="F343" s="9" t="s">
        <v>1016</v>
      </c>
      <c r="G343" s="9" t="s">
        <v>790</v>
      </c>
      <c r="H343" s="9" t="s">
        <v>438</v>
      </c>
      <c r="I343" s="9" t="s">
        <v>1689</v>
      </c>
      <c r="J343" s="9" t="s">
        <v>1690</v>
      </c>
      <c r="K343" s="9" t="s">
        <v>1082</v>
      </c>
      <c r="L343" s="9" t="s">
        <v>1691</v>
      </c>
      <c r="M343" s="9" t="s">
        <v>1018</v>
      </c>
      <c r="N343" s="9"/>
      <c r="O343" s="11" t="s">
        <v>101</v>
      </c>
      <c r="P343" s="12">
        <v>25.558468260000001</v>
      </c>
      <c r="Q343" s="12">
        <v>-103.4361529</v>
      </c>
      <c r="R343" s="9" t="s">
        <v>1692</v>
      </c>
      <c r="S343" s="13"/>
      <c r="T343" s="13"/>
      <c r="U343" s="13"/>
    </row>
    <row r="344" spans="1:21" x14ac:dyDescent="0.3">
      <c r="A344" s="9">
        <v>343</v>
      </c>
      <c r="B344" s="9" t="s">
        <v>39</v>
      </c>
      <c r="C344" s="9" t="s">
        <v>39</v>
      </c>
      <c r="D344" s="9" t="s">
        <v>39</v>
      </c>
      <c r="E344" s="9" t="s">
        <v>1693</v>
      </c>
      <c r="F344" s="9"/>
      <c r="G344" s="9" t="s">
        <v>790</v>
      </c>
      <c r="H344" s="9" t="s">
        <v>438</v>
      </c>
      <c r="I344" s="9" t="s">
        <v>1694</v>
      </c>
      <c r="J344" s="9" t="s">
        <v>1421</v>
      </c>
      <c r="K344" s="9" t="s">
        <v>1116</v>
      </c>
      <c r="L344" s="9"/>
      <c r="M344" s="9"/>
      <c r="N344" s="9" t="s">
        <v>1695</v>
      </c>
      <c r="O344" s="11" t="s">
        <v>101</v>
      </c>
      <c r="P344" s="12">
        <v>25.617452180000001</v>
      </c>
      <c r="Q344" s="12">
        <v>-103.39214305</v>
      </c>
      <c r="R344" s="9" t="s">
        <v>1696</v>
      </c>
      <c r="S344" s="13"/>
      <c r="T344" s="13"/>
      <c r="U344" s="13"/>
    </row>
    <row r="345" spans="1:21" x14ac:dyDescent="0.3">
      <c r="A345" s="9">
        <v>344</v>
      </c>
      <c r="B345" s="9" t="s">
        <v>39</v>
      </c>
      <c r="C345" s="9" t="s">
        <v>39</v>
      </c>
      <c r="D345" s="9" t="s">
        <v>39</v>
      </c>
      <c r="E345" s="9" t="s">
        <v>1697</v>
      </c>
      <c r="F345" s="9" t="s">
        <v>1698</v>
      </c>
      <c r="G345" s="9" t="s">
        <v>790</v>
      </c>
      <c r="H345" s="9" t="s">
        <v>97</v>
      </c>
      <c r="I345" s="9" t="s">
        <v>1699</v>
      </c>
      <c r="J345" s="9" t="s">
        <v>1700</v>
      </c>
      <c r="K345" s="9" t="s">
        <v>1116</v>
      </c>
      <c r="L345" s="9"/>
      <c r="M345" s="9"/>
      <c r="N345" s="9"/>
      <c r="O345" s="11" t="s">
        <v>101</v>
      </c>
      <c r="P345" s="12">
        <v>25.5791206</v>
      </c>
      <c r="Q345" s="12">
        <v>-103.40429431</v>
      </c>
      <c r="R345" s="9" t="s">
        <v>1701</v>
      </c>
      <c r="S345" s="13"/>
      <c r="T345" s="13"/>
      <c r="U345" s="13"/>
    </row>
    <row r="346" spans="1:21" x14ac:dyDescent="0.3">
      <c r="A346" s="9">
        <v>345</v>
      </c>
      <c r="B346" s="9" t="s">
        <v>39</v>
      </c>
      <c r="C346" s="9" t="s">
        <v>39</v>
      </c>
      <c r="D346" s="9" t="s">
        <v>39</v>
      </c>
      <c r="E346" s="9" t="s">
        <v>1702</v>
      </c>
      <c r="F346" s="9"/>
      <c r="G346" s="9" t="s">
        <v>790</v>
      </c>
      <c r="H346" s="9" t="s">
        <v>97</v>
      </c>
      <c r="I346" s="9" t="s">
        <v>1703</v>
      </c>
      <c r="J346" s="9" t="s">
        <v>1188</v>
      </c>
      <c r="K346" s="9" t="s">
        <v>1116</v>
      </c>
      <c r="L346" s="9" t="s">
        <v>1704</v>
      </c>
      <c r="M346" s="9"/>
      <c r="N346" s="9"/>
      <c r="O346" s="11" t="s">
        <v>101</v>
      </c>
      <c r="P346" s="12">
        <v>25.57813625</v>
      </c>
      <c r="Q346" s="12">
        <v>-103.40683403</v>
      </c>
      <c r="R346" s="9" t="s">
        <v>1705</v>
      </c>
      <c r="S346" s="13"/>
      <c r="T346" s="13"/>
      <c r="U346" s="13"/>
    </row>
    <row r="347" spans="1:21" x14ac:dyDescent="0.3">
      <c r="A347" s="9">
        <v>346</v>
      </c>
      <c r="B347" s="9" t="s">
        <v>39</v>
      </c>
      <c r="C347" s="9" t="s">
        <v>39</v>
      </c>
      <c r="D347" s="9" t="s">
        <v>39</v>
      </c>
      <c r="E347" s="9" t="s">
        <v>1706</v>
      </c>
      <c r="F347" s="9"/>
      <c r="G347" s="9" t="s">
        <v>790</v>
      </c>
      <c r="H347" s="9" t="s">
        <v>97</v>
      </c>
      <c r="I347" s="9" t="s">
        <v>1707</v>
      </c>
      <c r="J347" s="9" t="s">
        <v>1041</v>
      </c>
      <c r="K347" s="9" t="s">
        <v>1082</v>
      </c>
      <c r="L347" s="9"/>
      <c r="M347" s="9"/>
      <c r="N347" s="9"/>
      <c r="O347" s="11" t="s">
        <v>101</v>
      </c>
      <c r="P347" s="12">
        <v>25.54519041</v>
      </c>
      <c r="Q347" s="12">
        <v>-103.44846421</v>
      </c>
      <c r="R347" s="9" t="s">
        <v>1708</v>
      </c>
      <c r="S347" s="13"/>
      <c r="T347" s="13"/>
      <c r="U347" s="13"/>
    </row>
    <row r="348" spans="1:21" x14ac:dyDescent="0.3">
      <c r="A348" s="9">
        <v>347</v>
      </c>
      <c r="B348" s="9" t="s">
        <v>39</v>
      </c>
      <c r="C348" s="9" t="s">
        <v>39</v>
      </c>
      <c r="D348" s="9" t="s">
        <v>39</v>
      </c>
      <c r="E348" s="9" t="s">
        <v>1709</v>
      </c>
      <c r="F348" s="9" t="s">
        <v>1710</v>
      </c>
      <c r="G348" s="9" t="s">
        <v>790</v>
      </c>
      <c r="H348" s="9" t="s">
        <v>438</v>
      </c>
      <c r="I348" s="9" t="s">
        <v>1711</v>
      </c>
      <c r="J348" s="9" t="s">
        <v>1712</v>
      </c>
      <c r="K348" s="9" t="s">
        <v>1175</v>
      </c>
      <c r="L348" s="9" t="s">
        <v>1713</v>
      </c>
      <c r="M348" s="9"/>
      <c r="N348" s="9"/>
      <c r="O348" s="11" t="s">
        <v>101</v>
      </c>
      <c r="P348" s="12">
        <v>25.611400369999998</v>
      </c>
      <c r="Q348" s="12">
        <v>-103.39842571</v>
      </c>
      <c r="R348" s="9" t="s">
        <v>1714</v>
      </c>
      <c r="S348" s="13"/>
      <c r="T348" s="13"/>
      <c r="U348" s="13"/>
    </row>
    <row r="349" spans="1:21" x14ac:dyDescent="0.3">
      <c r="A349" s="9">
        <v>348</v>
      </c>
      <c r="B349" s="9" t="s">
        <v>39</v>
      </c>
      <c r="C349" s="9" t="s">
        <v>39</v>
      </c>
      <c r="D349" s="9" t="s">
        <v>39</v>
      </c>
      <c r="E349" s="9" t="s">
        <v>1715</v>
      </c>
      <c r="F349" s="9"/>
      <c r="G349" s="9" t="s">
        <v>569</v>
      </c>
      <c r="H349" s="9" t="s">
        <v>97</v>
      </c>
      <c r="I349" s="9" t="s">
        <v>1716</v>
      </c>
      <c r="J349" s="9" t="s">
        <v>1717</v>
      </c>
      <c r="K349" s="9" t="s">
        <v>1718</v>
      </c>
      <c r="L349" s="9" t="s">
        <v>1719</v>
      </c>
      <c r="M349" s="9"/>
      <c r="N349" s="9"/>
      <c r="O349" s="11" t="s">
        <v>101</v>
      </c>
      <c r="P349" s="12">
        <v>25.507798739999998</v>
      </c>
      <c r="Q349" s="12">
        <v>-103.38717570999999</v>
      </c>
      <c r="R349" s="9" t="s">
        <v>1720</v>
      </c>
      <c r="S349" s="13"/>
      <c r="T349" s="13"/>
      <c r="U349" s="13"/>
    </row>
    <row r="350" spans="1:21" x14ac:dyDescent="0.3">
      <c r="A350" s="9">
        <v>349</v>
      </c>
      <c r="B350" s="9" t="s">
        <v>39</v>
      </c>
      <c r="C350" s="9" t="s">
        <v>39</v>
      </c>
      <c r="D350" s="9" t="s">
        <v>39</v>
      </c>
      <c r="E350" s="9" t="s">
        <v>1721</v>
      </c>
      <c r="F350" s="9" t="s">
        <v>1659</v>
      </c>
      <c r="G350" s="9" t="s">
        <v>790</v>
      </c>
      <c r="H350" s="9" t="s">
        <v>97</v>
      </c>
      <c r="I350" s="9" t="s">
        <v>1722</v>
      </c>
      <c r="J350" s="9" t="s">
        <v>1076</v>
      </c>
      <c r="K350" s="9" t="s">
        <v>1077</v>
      </c>
      <c r="L350" s="9" t="s">
        <v>1723</v>
      </c>
      <c r="M350" s="9" t="s">
        <v>1078</v>
      </c>
      <c r="N350" s="9"/>
      <c r="O350" s="11" t="s">
        <v>101</v>
      </c>
      <c r="P350" s="12">
        <v>25.561913759999999</v>
      </c>
      <c r="Q350" s="12">
        <v>-103.43155387</v>
      </c>
      <c r="R350" s="9" t="s">
        <v>1724</v>
      </c>
      <c r="S350" s="13"/>
      <c r="T350" s="13"/>
      <c r="U350" s="13"/>
    </row>
    <row r="351" spans="1:21" x14ac:dyDescent="0.3">
      <c r="A351" s="9">
        <v>350</v>
      </c>
      <c r="B351" s="9" t="s">
        <v>39</v>
      </c>
      <c r="C351" s="9" t="s">
        <v>39</v>
      </c>
      <c r="D351" s="9" t="s">
        <v>39</v>
      </c>
      <c r="E351" s="9" t="s">
        <v>1725</v>
      </c>
      <c r="F351" s="9"/>
      <c r="G351" s="9" t="s">
        <v>34</v>
      </c>
      <c r="H351" s="9" t="s">
        <v>97</v>
      </c>
      <c r="I351" s="9" t="s">
        <v>1726</v>
      </c>
      <c r="J351" s="9" t="s">
        <v>1421</v>
      </c>
      <c r="K351" s="9" t="s">
        <v>1116</v>
      </c>
      <c r="L351" s="9" t="s">
        <v>1727</v>
      </c>
      <c r="M351" s="9"/>
      <c r="N351" s="9"/>
      <c r="O351" s="11" t="s">
        <v>101</v>
      </c>
      <c r="P351" s="12">
        <v>25.613351649999998</v>
      </c>
      <c r="Q351" s="12">
        <v>-103.38988836999999</v>
      </c>
      <c r="R351" s="9" t="s">
        <v>1728</v>
      </c>
      <c r="S351" s="13"/>
      <c r="T351" s="13"/>
      <c r="U351" s="13"/>
    </row>
    <row r="352" spans="1:21" x14ac:dyDescent="0.3">
      <c r="A352" s="9">
        <v>351</v>
      </c>
      <c r="B352" s="9" t="s">
        <v>40</v>
      </c>
      <c r="C352" s="9" t="s">
        <v>40</v>
      </c>
      <c r="D352" s="9" t="s">
        <v>40</v>
      </c>
      <c r="E352" s="9" t="s">
        <v>1729</v>
      </c>
      <c r="F352" s="9"/>
      <c r="G352" s="9" t="s">
        <v>104</v>
      </c>
      <c r="H352" s="9" t="s">
        <v>97</v>
      </c>
      <c r="I352" s="9" t="s">
        <v>1730</v>
      </c>
      <c r="J352" s="9" t="s">
        <v>1731</v>
      </c>
      <c r="K352" s="9" t="s">
        <v>1732</v>
      </c>
      <c r="L352" s="9" t="s">
        <v>1733</v>
      </c>
      <c r="M352" s="9"/>
      <c r="N352" s="9"/>
      <c r="O352" s="11" t="s">
        <v>101</v>
      </c>
      <c r="P352" s="12">
        <v>25.532408310000001</v>
      </c>
      <c r="Q352" s="12">
        <v>-103.23768814</v>
      </c>
      <c r="R352" s="9" t="s">
        <v>1734</v>
      </c>
      <c r="S352" s="13"/>
      <c r="T352" s="13"/>
      <c r="U352" s="13"/>
    </row>
    <row r="353" spans="1:21" x14ac:dyDescent="0.3">
      <c r="A353" s="9">
        <v>352</v>
      </c>
      <c r="B353" s="9" t="s">
        <v>40</v>
      </c>
      <c r="C353" s="9" t="s">
        <v>40</v>
      </c>
      <c r="D353" s="9" t="s">
        <v>40</v>
      </c>
      <c r="E353" s="9" t="s">
        <v>1735</v>
      </c>
      <c r="F353" s="9"/>
      <c r="G353" s="9" t="s">
        <v>104</v>
      </c>
      <c r="H353" s="9" t="s">
        <v>97</v>
      </c>
      <c r="I353" s="9" t="s">
        <v>1736</v>
      </c>
      <c r="J353" s="9" t="s">
        <v>1737</v>
      </c>
      <c r="K353" s="9" t="s">
        <v>1738</v>
      </c>
      <c r="L353" s="9" t="s">
        <v>1739</v>
      </c>
      <c r="M353" s="9"/>
      <c r="N353" s="9"/>
      <c r="O353" s="11" t="s">
        <v>101</v>
      </c>
      <c r="P353" s="12">
        <v>25.53382775</v>
      </c>
      <c r="Q353" s="12">
        <v>-103.25385292</v>
      </c>
      <c r="R353" s="9" t="s">
        <v>1740</v>
      </c>
      <c r="S353" s="13"/>
      <c r="T353" s="13"/>
      <c r="U353" s="13"/>
    </row>
    <row r="354" spans="1:21" x14ac:dyDescent="0.3">
      <c r="A354" s="9">
        <v>353</v>
      </c>
      <c r="B354" s="9" t="s">
        <v>40</v>
      </c>
      <c r="C354" s="9" t="s">
        <v>40</v>
      </c>
      <c r="D354" s="9" t="s">
        <v>40</v>
      </c>
      <c r="E354" s="9" t="s">
        <v>1741</v>
      </c>
      <c r="F354" s="9"/>
      <c r="G354" s="9" t="s">
        <v>104</v>
      </c>
      <c r="H354" s="9" t="s">
        <v>97</v>
      </c>
      <c r="I354" s="9" t="s">
        <v>1742</v>
      </c>
      <c r="J354" s="9" t="s">
        <v>1743</v>
      </c>
      <c r="K354" s="9" t="s">
        <v>1744</v>
      </c>
      <c r="L354" s="9" t="s">
        <v>1745</v>
      </c>
      <c r="M354" s="9"/>
      <c r="N354" s="9"/>
      <c r="O354" s="11" t="s">
        <v>101</v>
      </c>
      <c r="P354" s="12">
        <v>25.53555072</v>
      </c>
      <c r="Q354" s="12">
        <v>-103.23860772</v>
      </c>
      <c r="R354" s="9" t="s">
        <v>1746</v>
      </c>
      <c r="S354" s="13"/>
      <c r="T354" s="13"/>
      <c r="U354" s="13"/>
    </row>
    <row r="355" spans="1:21" x14ac:dyDescent="0.3">
      <c r="A355" s="9">
        <v>354</v>
      </c>
      <c r="B355" s="9" t="s">
        <v>41</v>
      </c>
      <c r="C355" s="9" t="s">
        <v>55</v>
      </c>
      <c r="D355" s="9" t="s">
        <v>55</v>
      </c>
      <c r="E355" s="9" t="s">
        <v>1747</v>
      </c>
      <c r="F355" s="9"/>
      <c r="G355" s="9" t="s">
        <v>104</v>
      </c>
      <c r="H355" s="9" t="s">
        <v>97</v>
      </c>
      <c r="I355" s="9" t="s">
        <v>1748</v>
      </c>
      <c r="J355" s="9" t="s">
        <v>1749</v>
      </c>
      <c r="K355" s="9" t="s">
        <v>1750</v>
      </c>
      <c r="L355" s="9" t="s">
        <v>1751</v>
      </c>
      <c r="M355" s="9"/>
      <c r="N355" s="9"/>
      <c r="O355" s="11" t="s">
        <v>101</v>
      </c>
      <c r="P355" s="12">
        <v>24.520124509999999</v>
      </c>
      <c r="Q355" s="12">
        <v>-104.77718125</v>
      </c>
      <c r="R355" s="9" t="s">
        <v>1752</v>
      </c>
      <c r="S355" s="13"/>
      <c r="T355" s="13"/>
      <c r="U355" s="13"/>
    </row>
    <row r="356" spans="1:21" x14ac:dyDescent="0.3">
      <c r="A356" s="9">
        <v>355</v>
      </c>
      <c r="B356" s="9" t="s">
        <v>41</v>
      </c>
      <c r="C356" s="9" t="s">
        <v>55</v>
      </c>
      <c r="D356" s="9" t="s">
        <v>55</v>
      </c>
      <c r="E356" s="9" t="s">
        <v>1729</v>
      </c>
      <c r="F356" s="9"/>
      <c r="G356" s="9" t="s">
        <v>104</v>
      </c>
      <c r="H356" s="9" t="s">
        <v>97</v>
      </c>
      <c r="I356" s="9" t="s">
        <v>1753</v>
      </c>
      <c r="J356" s="9" t="s">
        <v>239</v>
      </c>
      <c r="K356" s="9" t="s">
        <v>1754</v>
      </c>
      <c r="L356" s="9"/>
      <c r="M356" s="9"/>
      <c r="N356" s="9"/>
      <c r="O356" s="11" t="s">
        <v>101</v>
      </c>
      <c r="P356" s="12">
        <v>24.526537579999999</v>
      </c>
      <c r="Q356" s="12">
        <v>-104.77486555999999</v>
      </c>
      <c r="R356" s="9" t="s">
        <v>1755</v>
      </c>
      <c r="S356" s="13"/>
      <c r="T356" s="13"/>
      <c r="U356" s="13"/>
    </row>
    <row r="357" spans="1:21" x14ac:dyDescent="0.3">
      <c r="A357" s="9">
        <v>356</v>
      </c>
      <c r="B357" s="9" t="s">
        <v>41</v>
      </c>
      <c r="C357" s="9" t="s">
        <v>55</v>
      </c>
      <c r="D357" s="9" t="s">
        <v>55</v>
      </c>
      <c r="E357" s="9" t="s">
        <v>872</v>
      </c>
      <c r="F357" s="9" t="s">
        <v>1756</v>
      </c>
      <c r="G357" s="9" t="s">
        <v>104</v>
      </c>
      <c r="H357" s="9" t="s">
        <v>97</v>
      </c>
      <c r="I357" s="9" t="s">
        <v>1757</v>
      </c>
      <c r="J357" s="9" t="s">
        <v>239</v>
      </c>
      <c r="K357" s="9" t="s">
        <v>1758</v>
      </c>
      <c r="L357" s="9" t="s">
        <v>1759</v>
      </c>
      <c r="M357" s="9"/>
      <c r="N357" s="9"/>
      <c r="O357" s="11" t="s">
        <v>101</v>
      </c>
      <c r="P357" s="12">
        <v>24.526417309999999</v>
      </c>
      <c r="Q357" s="12">
        <v>-104.77753651</v>
      </c>
      <c r="R357" s="9" t="s">
        <v>1760</v>
      </c>
      <c r="S357" s="13"/>
      <c r="T357" s="13"/>
      <c r="U357" s="13"/>
    </row>
    <row r="358" spans="1:21" x14ac:dyDescent="0.3">
      <c r="A358" s="9">
        <v>357</v>
      </c>
      <c r="B358" s="9" t="s">
        <v>41</v>
      </c>
      <c r="C358" s="9" t="s">
        <v>55</v>
      </c>
      <c r="D358" s="9" t="s">
        <v>55</v>
      </c>
      <c r="E358" s="9" t="s">
        <v>1761</v>
      </c>
      <c r="F358" s="9"/>
      <c r="G358" s="9" t="s">
        <v>104</v>
      </c>
      <c r="H358" s="9" t="s">
        <v>97</v>
      </c>
      <c r="I358" s="9" t="s">
        <v>1762</v>
      </c>
      <c r="J358" s="9" t="s">
        <v>987</v>
      </c>
      <c r="K358" s="9" t="s">
        <v>1763</v>
      </c>
      <c r="L358" s="9" t="s">
        <v>1764</v>
      </c>
      <c r="M358" s="9"/>
      <c r="N358" s="9"/>
      <c r="O358" s="11" t="s">
        <v>101</v>
      </c>
      <c r="P358" s="12">
        <v>24.52981007</v>
      </c>
      <c r="Q358" s="12">
        <v>-104.77816232000001</v>
      </c>
      <c r="R358" s="9" t="s">
        <v>1765</v>
      </c>
      <c r="S358" s="13"/>
      <c r="T358" s="13"/>
      <c r="U358" s="13"/>
    </row>
    <row r="359" spans="1:21" x14ac:dyDescent="0.3">
      <c r="A359" s="9">
        <v>358</v>
      </c>
      <c r="B359" s="9" t="s">
        <v>41</v>
      </c>
      <c r="C359" s="9" t="s">
        <v>55</v>
      </c>
      <c r="D359" s="9" t="s">
        <v>55</v>
      </c>
      <c r="E359" s="9" t="s">
        <v>1766</v>
      </c>
      <c r="F359" s="9"/>
      <c r="G359" s="9" t="s">
        <v>104</v>
      </c>
      <c r="H359" s="9" t="s">
        <v>97</v>
      </c>
      <c r="I359" s="9" t="s">
        <v>1767</v>
      </c>
      <c r="J359" s="9" t="s">
        <v>1768</v>
      </c>
      <c r="K359" s="9" t="s">
        <v>1754</v>
      </c>
      <c r="L359" s="9"/>
      <c r="M359" s="9"/>
      <c r="N359" s="9"/>
      <c r="O359" s="11" t="s">
        <v>101</v>
      </c>
      <c r="P359" s="12">
        <v>24.527342300000001</v>
      </c>
      <c r="Q359" s="12">
        <v>-104.77610299</v>
      </c>
      <c r="R359" s="9" t="s">
        <v>1769</v>
      </c>
      <c r="S359" s="13"/>
      <c r="T359" s="13"/>
      <c r="U359" s="13"/>
    </row>
    <row r="360" spans="1:21" x14ac:dyDescent="0.3">
      <c r="A360" s="9">
        <v>359</v>
      </c>
      <c r="B360" s="9" t="s">
        <v>41</v>
      </c>
      <c r="C360" s="9" t="s">
        <v>58</v>
      </c>
      <c r="D360" s="9" t="s">
        <v>1770</v>
      </c>
      <c r="E360" s="9" t="s">
        <v>1771</v>
      </c>
      <c r="F360" s="9"/>
      <c r="G360" s="9" t="s">
        <v>104</v>
      </c>
      <c r="H360" s="9" t="s">
        <v>97</v>
      </c>
      <c r="I360" s="9" t="s">
        <v>1772</v>
      </c>
      <c r="J360" s="9" t="s">
        <v>1773</v>
      </c>
      <c r="K360" s="9" t="s">
        <v>1774</v>
      </c>
      <c r="L360" s="9"/>
      <c r="M360" s="9"/>
      <c r="N360" s="9"/>
      <c r="O360" s="11" t="s">
        <v>101</v>
      </c>
      <c r="P360" s="12">
        <v>24.866771459999999</v>
      </c>
      <c r="Q360" s="12">
        <v>-103.69281875</v>
      </c>
      <c r="R360" s="9" t="s">
        <v>1775</v>
      </c>
      <c r="S360" s="13"/>
      <c r="T360" s="13"/>
      <c r="U360" s="13"/>
    </row>
    <row r="361" spans="1:21" x14ac:dyDescent="0.3">
      <c r="A361" s="9">
        <v>360</v>
      </c>
      <c r="B361" s="9" t="s">
        <v>41</v>
      </c>
      <c r="C361" s="9" t="s">
        <v>58</v>
      </c>
      <c r="D361" s="9" t="s">
        <v>1770</v>
      </c>
      <c r="E361" s="9" t="s">
        <v>1776</v>
      </c>
      <c r="F361" s="9"/>
      <c r="G361" s="9" t="s">
        <v>104</v>
      </c>
      <c r="H361" s="9" t="s">
        <v>97</v>
      </c>
      <c r="I361" s="9" t="s">
        <v>1777</v>
      </c>
      <c r="J361" s="9" t="s">
        <v>1778</v>
      </c>
      <c r="K361" s="9" t="s">
        <v>1774</v>
      </c>
      <c r="L361" s="9"/>
      <c r="M361" s="9"/>
      <c r="N361" s="9"/>
      <c r="O361" s="11" t="s">
        <v>101</v>
      </c>
      <c r="P361" s="12">
        <v>24.86992682</v>
      </c>
      <c r="Q361" s="12">
        <v>-103.69525602</v>
      </c>
      <c r="R361" s="9" t="s">
        <v>1779</v>
      </c>
      <c r="S361" s="13"/>
      <c r="T361" s="13"/>
      <c r="U361" s="13"/>
    </row>
    <row r="362" spans="1:21" x14ac:dyDescent="0.3">
      <c r="A362" s="9">
        <v>361</v>
      </c>
      <c r="B362" s="9" t="s">
        <v>41</v>
      </c>
      <c r="C362" s="9" t="s">
        <v>58</v>
      </c>
      <c r="D362" s="9" t="s">
        <v>1770</v>
      </c>
      <c r="E362" s="9" t="s">
        <v>1780</v>
      </c>
      <c r="F362" s="9"/>
      <c r="G362" s="9" t="s">
        <v>104</v>
      </c>
      <c r="H362" s="9" t="s">
        <v>97</v>
      </c>
      <c r="I362" s="9" t="s">
        <v>1781</v>
      </c>
      <c r="J362" s="9" t="s">
        <v>1782</v>
      </c>
      <c r="K362" s="9" t="s">
        <v>1774</v>
      </c>
      <c r="L362" s="9" t="s">
        <v>1783</v>
      </c>
      <c r="M362" s="9"/>
      <c r="N362" s="9"/>
      <c r="O362" s="11" t="s">
        <v>101</v>
      </c>
      <c r="P362" s="12">
        <v>24.86687538</v>
      </c>
      <c r="Q362" s="12">
        <v>-103.69914204</v>
      </c>
      <c r="R362" s="9" t="s">
        <v>1784</v>
      </c>
      <c r="S362" s="13"/>
      <c r="T362" s="13"/>
      <c r="U362" s="13"/>
    </row>
    <row r="363" spans="1:21" x14ac:dyDescent="0.3">
      <c r="A363" s="9">
        <v>362</v>
      </c>
      <c r="B363" s="9" t="s">
        <v>41</v>
      </c>
      <c r="C363" s="9" t="s">
        <v>62</v>
      </c>
      <c r="D363" s="9" t="s">
        <v>1785</v>
      </c>
      <c r="E363" s="9" t="s">
        <v>340</v>
      </c>
      <c r="F363" s="9"/>
      <c r="G363" s="9" t="s">
        <v>104</v>
      </c>
      <c r="H363" s="9" t="s">
        <v>97</v>
      </c>
      <c r="I363" s="9" t="s">
        <v>1786</v>
      </c>
      <c r="J363" s="9" t="s">
        <v>1041</v>
      </c>
      <c r="K363" s="9" t="s">
        <v>1787</v>
      </c>
      <c r="L363" s="9"/>
      <c r="M363" s="9"/>
      <c r="N363" s="9"/>
      <c r="O363" s="11" t="s">
        <v>101</v>
      </c>
      <c r="P363" s="12">
        <v>25.9497091</v>
      </c>
      <c r="Q363" s="12">
        <v>-105.36536488</v>
      </c>
      <c r="R363" s="9" t="s">
        <v>1788</v>
      </c>
      <c r="S363" s="13"/>
      <c r="T363" s="13"/>
      <c r="U363" s="13"/>
    </row>
    <row r="364" spans="1:21" x14ac:dyDescent="0.3">
      <c r="A364" s="9">
        <v>363</v>
      </c>
      <c r="B364" s="9" t="s">
        <v>41</v>
      </c>
      <c r="C364" s="9" t="s">
        <v>62</v>
      </c>
      <c r="D364" s="9" t="s">
        <v>1785</v>
      </c>
      <c r="E364" s="9" t="s">
        <v>1789</v>
      </c>
      <c r="F364" s="9"/>
      <c r="G364" s="9" t="s">
        <v>569</v>
      </c>
      <c r="H364" s="9" t="s">
        <v>97</v>
      </c>
      <c r="I364" s="9" t="s">
        <v>1790</v>
      </c>
      <c r="J364" s="9" t="s">
        <v>1791</v>
      </c>
      <c r="K364" s="9" t="s">
        <v>1787</v>
      </c>
      <c r="L364" s="9" t="s">
        <v>1792</v>
      </c>
      <c r="M364" s="9"/>
      <c r="N364" s="9"/>
      <c r="O364" s="11" t="s">
        <v>101</v>
      </c>
      <c r="P364" s="12">
        <v>25.956324299999999</v>
      </c>
      <c r="Q364" s="12">
        <v>-105.36155644</v>
      </c>
      <c r="R364" s="9" t="s">
        <v>1793</v>
      </c>
      <c r="S364" s="13"/>
      <c r="T364" s="13"/>
      <c r="U364" s="13"/>
    </row>
    <row r="365" spans="1:21" x14ac:dyDescent="0.3">
      <c r="A365" s="9">
        <v>364</v>
      </c>
      <c r="B365" s="9" t="s">
        <v>41</v>
      </c>
      <c r="C365" s="9" t="s">
        <v>54</v>
      </c>
      <c r="D365" s="9" t="s">
        <v>54</v>
      </c>
      <c r="E365" s="9" t="s">
        <v>1729</v>
      </c>
      <c r="F365" s="9"/>
      <c r="G365" s="9" t="s">
        <v>104</v>
      </c>
      <c r="H365" s="9" t="s">
        <v>97</v>
      </c>
      <c r="I365" s="9" t="s">
        <v>1794</v>
      </c>
      <c r="J365" s="9" t="s">
        <v>1795</v>
      </c>
      <c r="K365" s="9" t="s">
        <v>1796</v>
      </c>
      <c r="L365" s="9"/>
      <c r="M365" s="9"/>
      <c r="N365" s="9"/>
      <c r="O365" s="11" t="s">
        <v>101</v>
      </c>
      <c r="P365" s="12">
        <v>24.44770742</v>
      </c>
      <c r="Q365" s="12">
        <v>-104.12537222</v>
      </c>
      <c r="R365" s="9" t="s">
        <v>1797</v>
      </c>
      <c r="S365" s="13"/>
      <c r="T365" s="13"/>
      <c r="U365" s="13"/>
    </row>
    <row r="366" spans="1:21" x14ac:dyDescent="0.3">
      <c r="A366" s="9">
        <v>365</v>
      </c>
      <c r="B366" s="9" t="s">
        <v>41</v>
      </c>
      <c r="C366" s="9" t="s">
        <v>54</v>
      </c>
      <c r="D366" s="9" t="s">
        <v>54</v>
      </c>
      <c r="E366" s="9" t="s">
        <v>1798</v>
      </c>
      <c r="F366" s="9"/>
      <c r="G366" s="9" t="s">
        <v>104</v>
      </c>
      <c r="H366" s="9" t="s">
        <v>97</v>
      </c>
      <c r="I366" s="9" t="s">
        <v>1799</v>
      </c>
      <c r="J366" s="9" t="s">
        <v>1800</v>
      </c>
      <c r="K366" s="9" t="s">
        <v>1801</v>
      </c>
      <c r="L366" s="9" t="s">
        <v>1802</v>
      </c>
      <c r="M366" s="9"/>
      <c r="N366" s="9"/>
      <c r="O366" s="11" t="s">
        <v>101</v>
      </c>
      <c r="P366" s="12">
        <v>24.443924320000001</v>
      </c>
      <c r="Q366" s="12">
        <v>-104.11896418000001</v>
      </c>
      <c r="R366" s="9" t="s">
        <v>1803</v>
      </c>
      <c r="S366" s="13"/>
      <c r="T366" s="13"/>
      <c r="U366" s="13"/>
    </row>
    <row r="367" spans="1:21" x14ac:dyDescent="0.3">
      <c r="A367" s="9">
        <v>366</v>
      </c>
      <c r="B367" s="9" t="s">
        <v>41</v>
      </c>
      <c r="C367" s="9" t="s">
        <v>54</v>
      </c>
      <c r="D367" s="9" t="s">
        <v>54</v>
      </c>
      <c r="E367" s="9" t="s">
        <v>1804</v>
      </c>
      <c r="F367" s="9"/>
      <c r="G367" s="9" t="s">
        <v>104</v>
      </c>
      <c r="H367" s="9" t="s">
        <v>97</v>
      </c>
      <c r="I367" s="9" t="s">
        <v>1805</v>
      </c>
      <c r="J367" s="9" t="s">
        <v>1806</v>
      </c>
      <c r="K367" s="9" t="s">
        <v>1796</v>
      </c>
      <c r="L367" s="9" t="s">
        <v>1807</v>
      </c>
      <c r="M367" s="9"/>
      <c r="N367" s="9"/>
      <c r="O367" s="11" t="s">
        <v>101</v>
      </c>
      <c r="P367" s="12">
        <v>24.449938639999999</v>
      </c>
      <c r="Q367" s="12">
        <v>-104.12462169</v>
      </c>
      <c r="R367" s="9" t="s">
        <v>1808</v>
      </c>
      <c r="S367" s="13"/>
      <c r="T367" s="13"/>
      <c r="U367" s="13"/>
    </row>
    <row r="368" spans="1:21" x14ac:dyDescent="0.3">
      <c r="A368" s="9">
        <v>367</v>
      </c>
      <c r="B368" s="9" t="s">
        <v>41</v>
      </c>
      <c r="C368" s="9" t="s">
        <v>54</v>
      </c>
      <c r="D368" s="9" t="s">
        <v>54</v>
      </c>
      <c r="E368" s="9" t="s">
        <v>1809</v>
      </c>
      <c r="F368" s="9"/>
      <c r="G368" s="9" t="s">
        <v>104</v>
      </c>
      <c r="H368" s="9" t="s">
        <v>97</v>
      </c>
      <c r="I368" s="9" t="s">
        <v>1810</v>
      </c>
      <c r="J368" s="9" t="s">
        <v>1800</v>
      </c>
      <c r="K368" s="9" t="s">
        <v>1796</v>
      </c>
      <c r="L368" s="9"/>
      <c r="M368" s="9"/>
      <c r="N368" s="9"/>
      <c r="O368" s="11" t="s">
        <v>101</v>
      </c>
      <c r="P368" s="12">
        <v>24.445271340000001</v>
      </c>
      <c r="Q368" s="12">
        <v>-104.12055544</v>
      </c>
      <c r="R368" s="9" t="s">
        <v>1811</v>
      </c>
      <c r="S368" s="13"/>
      <c r="T368" s="13"/>
      <c r="U368" s="13"/>
    </row>
    <row r="369" spans="1:21" x14ac:dyDescent="0.3">
      <c r="A369" s="9">
        <v>368</v>
      </c>
      <c r="B369" s="9" t="s">
        <v>41</v>
      </c>
      <c r="C369" s="9" t="s">
        <v>54</v>
      </c>
      <c r="D369" s="9" t="s">
        <v>54</v>
      </c>
      <c r="E369" s="9" t="s">
        <v>1812</v>
      </c>
      <c r="F369" s="9"/>
      <c r="G369" s="9" t="s">
        <v>104</v>
      </c>
      <c r="H369" s="9" t="s">
        <v>97</v>
      </c>
      <c r="I369" s="9" t="s">
        <v>1813</v>
      </c>
      <c r="J369" s="9" t="s">
        <v>1800</v>
      </c>
      <c r="K369" s="9" t="s">
        <v>1796</v>
      </c>
      <c r="L369" s="9" t="s">
        <v>1814</v>
      </c>
      <c r="M369" s="9"/>
      <c r="N369" s="9"/>
      <c r="O369" s="11" t="s">
        <v>101</v>
      </c>
      <c r="P369" s="12">
        <v>24.450848730000001</v>
      </c>
      <c r="Q369" s="12">
        <v>-104.11706588</v>
      </c>
      <c r="R369" s="9" t="s">
        <v>1815</v>
      </c>
      <c r="S369" s="13"/>
      <c r="T369" s="13"/>
      <c r="U369" s="13"/>
    </row>
    <row r="370" spans="1:21" x14ac:dyDescent="0.3">
      <c r="A370" s="9">
        <v>369</v>
      </c>
      <c r="B370" s="9" t="s">
        <v>41</v>
      </c>
      <c r="C370" s="9" t="s">
        <v>54</v>
      </c>
      <c r="D370" s="9" t="s">
        <v>54</v>
      </c>
      <c r="E370" s="9" t="s">
        <v>1816</v>
      </c>
      <c r="F370" s="9"/>
      <c r="G370" s="9" t="s">
        <v>104</v>
      </c>
      <c r="H370" s="9" t="s">
        <v>97</v>
      </c>
      <c r="I370" s="9" t="s">
        <v>1817</v>
      </c>
      <c r="J370" s="9" t="s">
        <v>1041</v>
      </c>
      <c r="K370" s="9" t="s">
        <v>1796</v>
      </c>
      <c r="L370" s="9"/>
      <c r="M370" s="9"/>
      <c r="N370" s="9"/>
      <c r="O370" s="11" t="s">
        <v>101</v>
      </c>
      <c r="P370" s="12">
        <v>24.4476996</v>
      </c>
      <c r="Q370" s="12">
        <v>-104.12160385</v>
      </c>
      <c r="R370" s="9" t="s">
        <v>1818</v>
      </c>
      <c r="S370" s="13"/>
      <c r="T370" s="13"/>
      <c r="U370" s="13"/>
    </row>
    <row r="371" spans="1:21" x14ac:dyDescent="0.3">
      <c r="A371" s="9">
        <v>370</v>
      </c>
      <c r="B371" s="9" t="s">
        <v>41</v>
      </c>
      <c r="C371" s="9" t="s">
        <v>69</v>
      </c>
      <c r="D371" s="9" t="s">
        <v>69</v>
      </c>
      <c r="E371" s="9" t="s">
        <v>465</v>
      </c>
      <c r="F371" s="9"/>
      <c r="G371" s="9" t="s">
        <v>104</v>
      </c>
      <c r="H371" s="9" t="s">
        <v>97</v>
      </c>
      <c r="I371" s="9" t="s">
        <v>1819</v>
      </c>
      <c r="J371" s="9" t="s">
        <v>1820</v>
      </c>
      <c r="K371" s="9" t="s">
        <v>1821</v>
      </c>
      <c r="L371" s="9"/>
      <c r="M371" s="9"/>
      <c r="N371" s="9"/>
      <c r="O371" s="11" t="s">
        <v>101</v>
      </c>
      <c r="P371" s="12">
        <v>25.932482499999999</v>
      </c>
      <c r="Q371" s="12">
        <v>-105.95636399999999</v>
      </c>
      <c r="R371" s="9" t="s">
        <v>1822</v>
      </c>
      <c r="S371" s="13"/>
      <c r="T371" s="13"/>
      <c r="U371" s="13"/>
    </row>
    <row r="372" spans="1:21" x14ac:dyDescent="0.3">
      <c r="A372" s="9">
        <v>371</v>
      </c>
      <c r="B372" s="9" t="s">
        <v>41</v>
      </c>
      <c r="C372" s="9" t="s">
        <v>63</v>
      </c>
      <c r="D372" s="9" t="s">
        <v>1823</v>
      </c>
      <c r="E372" s="9" t="s">
        <v>1824</v>
      </c>
      <c r="F372" s="9"/>
      <c r="G372" s="9" t="s">
        <v>104</v>
      </c>
      <c r="H372" s="9" t="s">
        <v>97</v>
      </c>
      <c r="I372" s="9" t="s">
        <v>1825</v>
      </c>
      <c r="J372" s="9" t="s">
        <v>1826</v>
      </c>
      <c r="K372" s="9" t="s">
        <v>1827</v>
      </c>
      <c r="L372" s="9" t="s">
        <v>1828</v>
      </c>
      <c r="M372" s="9"/>
      <c r="N372" s="9"/>
      <c r="O372" s="11" t="s">
        <v>101</v>
      </c>
      <c r="P372" s="12">
        <v>25.88880722</v>
      </c>
      <c r="Q372" s="12">
        <v>-103.62783845</v>
      </c>
      <c r="R372" s="9" t="s">
        <v>1829</v>
      </c>
      <c r="S372" s="13"/>
      <c r="T372" s="13"/>
      <c r="U372" s="13"/>
    </row>
    <row r="373" spans="1:21" x14ac:dyDescent="0.3">
      <c r="A373" s="9">
        <v>372</v>
      </c>
      <c r="B373" s="9" t="s">
        <v>41</v>
      </c>
      <c r="C373" s="9" t="s">
        <v>63</v>
      </c>
      <c r="D373" s="9" t="s">
        <v>63</v>
      </c>
      <c r="E373" s="9" t="s">
        <v>549</v>
      </c>
      <c r="F373" s="9"/>
      <c r="G373" s="9" t="s">
        <v>104</v>
      </c>
      <c r="H373" s="9" t="s">
        <v>97</v>
      </c>
      <c r="I373" s="9" t="s">
        <v>1830</v>
      </c>
      <c r="J373" s="9" t="s">
        <v>1831</v>
      </c>
      <c r="K373" s="9" t="s">
        <v>1832</v>
      </c>
      <c r="L373" s="9" t="s">
        <v>1833</v>
      </c>
      <c r="M373" s="9"/>
      <c r="N373" s="9"/>
      <c r="O373" s="11" t="s">
        <v>101</v>
      </c>
      <c r="P373" s="12">
        <v>25.833533509999999</v>
      </c>
      <c r="Q373" s="12">
        <v>-103.84427327</v>
      </c>
      <c r="R373" s="9" t="s">
        <v>1834</v>
      </c>
      <c r="S373" s="13"/>
      <c r="T373" s="13"/>
      <c r="U373" s="13"/>
    </row>
    <row r="374" spans="1:21" x14ac:dyDescent="0.3">
      <c r="A374" s="9">
        <v>373</v>
      </c>
      <c r="B374" s="9" t="s">
        <v>41</v>
      </c>
      <c r="C374" s="9" t="s">
        <v>64</v>
      </c>
      <c r="D374" s="9" t="s">
        <v>1835</v>
      </c>
      <c r="E374" s="9" t="s">
        <v>1836</v>
      </c>
      <c r="F374" s="9"/>
      <c r="G374" s="9" t="s">
        <v>104</v>
      </c>
      <c r="H374" s="9" t="s">
        <v>97</v>
      </c>
      <c r="I374" s="9" t="s">
        <v>1837</v>
      </c>
      <c r="J374" s="9" t="s">
        <v>239</v>
      </c>
      <c r="K374" s="9" t="s">
        <v>1838</v>
      </c>
      <c r="L374" s="9" t="s">
        <v>1839</v>
      </c>
      <c r="M374" s="9"/>
      <c r="N374" s="9"/>
      <c r="O374" s="11" t="s">
        <v>101</v>
      </c>
      <c r="P374" s="12">
        <v>23.47511811</v>
      </c>
      <c r="Q374" s="12">
        <v>-104.39503510999999</v>
      </c>
      <c r="R374" s="9" t="s">
        <v>1840</v>
      </c>
      <c r="S374" s="13"/>
      <c r="T374" s="13"/>
      <c r="U374" s="13"/>
    </row>
    <row r="375" spans="1:21" x14ac:dyDescent="0.3">
      <c r="A375" s="9">
        <v>374</v>
      </c>
      <c r="B375" s="9" t="s">
        <v>41</v>
      </c>
      <c r="C375" s="9" t="s">
        <v>64</v>
      </c>
      <c r="D375" s="9" t="s">
        <v>1835</v>
      </c>
      <c r="E375" s="9" t="s">
        <v>1841</v>
      </c>
      <c r="F375" s="9"/>
      <c r="G375" s="9" t="s">
        <v>104</v>
      </c>
      <c r="H375" s="9" t="s">
        <v>97</v>
      </c>
      <c r="I375" s="9" t="s">
        <v>1842</v>
      </c>
      <c r="J375" s="9" t="s">
        <v>1041</v>
      </c>
      <c r="K375" s="9" t="s">
        <v>1843</v>
      </c>
      <c r="L375" s="9" t="s">
        <v>1844</v>
      </c>
      <c r="M375" s="9"/>
      <c r="N375" s="9"/>
      <c r="O375" s="11" t="s">
        <v>101</v>
      </c>
      <c r="P375" s="12">
        <v>23.472051010000001</v>
      </c>
      <c r="Q375" s="12">
        <v>-104.39716285</v>
      </c>
      <c r="R375" s="9" t="s">
        <v>1845</v>
      </c>
      <c r="S375" s="13"/>
      <c r="T375" s="13"/>
      <c r="U375" s="13"/>
    </row>
    <row r="376" spans="1:21" x14ac:dyDescent="0.3">
      <c r="A376" s="9">
        <v>375</v>
      </c>
      <c r="B376" s="9" t="s">
        <v>41</v>
      </c>
      <c r="C376" s="9" t="s">
        <v>70</v>
      </c>
      <c r="D376" s="9" t="s">
        <v>70</v>
      </c>
      <c r="E376" s="9" t="s">
        <v>1846</v>
      </c>
      <c r="F376" s="9"/>
      <c r="G376" s="9" t="s">
        <v>569</v>
      </c>
      <c r="H376" s="9" t="s">
        <v>97</v>
      </c>
      <c r="I376" s="9" t="s">
        <v>1847</v>
      </c>
      <c r="J376" s="9" t="s">
        <v>1848</v>
      </c>
      <c r="K376" s="9" t="s">
        <v>1849</v>
      </c>
      <c r="L376" s="9" t="s">
        <v>1850</v>
      </c>
      <c r="M376" s="9"/>
      <c r="N376" s="9"/>
      <c r="O376" s="11" t="s">
        <v>101</v>
      </c>
      <c r="P376" s="12">
        <v>25.222945060000001</v>
      </c>
      <c r="Q376" s="12">
        <v>-104.1119597</v>
      </c>
      <c r="R376" s="9" t="s">
        <v>1851</v>
      </c>
      <c r="S376" s="13"/>
      <c r="T376" s="13"/>
      <c r="U376" s="13"/>
    </row>
    <row r="377" spans="1:21" x14ac:dyDescent="0.3">
      <c r="A377" s="9">
        <v>376</v>
      </c>
      <c r="B377" s="9" t="s">
        <v>41</v>
      </c>
      <c r="C377" s="9" t="s">
        <v>65</v>
      </c>
      <c r="D377" s="9" t="s">
        <v>65</v>
      </c>
      <c r="E377" s="9" t="s">
        <v>187</v>
      </c>
      <c r="F377" s="9"/>
      <c r="G377" s="9" t="s">
        <v>104</v>
      </c>
      <c r="H377" s="9" t="s">
        <v>97</v>
      </c>
      <c r="I377" s="9" t="s">
        <v>1852</v>
      </c>
      <c r="J377" s="9" t="s">
        <v>1041</v>
      </c>
      <c r="K377" s="9" t="s">
        <v>1853</v>
      </c>
      <c r="L377" s="9" t="s">
        <v>1854</v>
      </c>
      <c r="M377" s="9"/>
      <c r="N377" s="9"/>
      <c r="O377" s="11" t="s">
        <v>101</v>
      </c>
      <c r="P377" s="12">
        <v>23.84496919</v>
      </c>
      <c r="Q377" s="12">
        <v>-104.24228047</v>
      </c>
      <c r="R377" s="9" t="s">
        <v>1855</v>
      </c>
      <c r="S377" s="13"/>
      <c r="T377" s="13"/>
      <c r="U377" s="13"/>
    </row>
    <row r="378" spans="1:21" x14ac:dyDescent="0.3">
      <c r="A378" s="9">
        <v>377</v>
      </c>
      <c r="B378" s="9" t="s">
        <v>41</v>
      </c>
      <c r="C378" s="9" t="s">
        <v>65</v>
      </c>
      <c r="D378" s="9" t="s">
        <v>65</v>
      </c>
      <c r="E378" s="9" t="s">
        <v>1856</v>
      </c>
      <c r="F378" s="9"/>
      <c r="G378" s="9" t="s">
        <v>104</v>
      </c>
      <c r="H378" s="9" t="s">
        <v>97</v>
      </c>
      <c r="I378" s="9" t="s">
        <v>1857</v>
      </c>
      <c r="J378" s="9" t="s">
        <v>1858</v>
      </c>
      <c r="K378" s="9" t="s">
        <v>1859</v>
      </c>
      <c r="L378" s="9" t="s">
        <v>1860</v>
      </c>
      <c r="M378" s="9"/>
      <c r="N378" s="9"/>
      <c r="O378" s="11" t="s">
        <v>101</v>
      </c>
      <c r="P378" s="12">
        <v>23.841410920000001</v>
      </c>
      <c r="Q378" s="12">
        <v>-104.24740906</v>
      </c>
      <c r="R378" s="9" t="s">
        <v>1861</v>
      </c>
      <c r="S378" s="13"/>
      <c r="T378" s="13"/>
      <c r="U378" s="13"/>
    </row>
    <row r="379" spans="1:21" x14ac:dyDescent="0.3">
      <c r="A379" s="9">
        <v>378</v>
      </c>
      <c r="B379" s="9" t="s">
        <v>41</v>
      </c>
      <c r="C379" s="9" t="s">
        <v>56</v>
      </c>
      <c r="D379" s="9" t="s">
        <v>56</v>
      </c>
      <c r="E379" s="9" t="s">
        <v>1862</v>
      </c>
      <c r="F379" s="9" t="s">
        <v>1863</v>
      </c>
      <c r="G379" s="9" t="s">
        <v>104</v>
      </c>
      <c r="H379" s="9" t="s">
        <v>97</v>
      </c>
      <c r="I379" s="9" t="s">
        <v>1864</v>
      </c>
      <c r="J379" s="9" t="s">
        <v>239</v>
      </c>
      <c r="K379" s="9" t="s">
        <v>1865</v>
      </c>
      <c r="L379" s="9" t="s">
        <v>1866</v>
      </c>
      <c r="M379" s="9"/>
      <c r="N379" s="9"/>
      <c r="O379" s="11" t="s">
        <v>101</v>
      </c>
      <c r="P379" s="12">
        <v>24.886641149999999</v>
      </c>
      <c r="Q379" s="12">
        <v>-105.07112127000001</v>
      </c>
      <c r="R379" s="9" t="s">
        <v>1867</v>
      </c>
      <c r="S379" s="13"/>
      <c r="T379" s="13"/>
      <c r="U379" s="13"/>
    </row>
    <row r="380" spans="1:21" x14ac:dyDescent="0.3">
      <c r="A380" s="9">
        <v>379</v>
      </c>
      <c r="B380" s="9" t="s">
        <v>41</v>
      </c>
      <c r="C380" s="9" t="s">
        <v>56</v>
      </c>
      <c r="D380" s="9" t="s">
        <v>56</v>
      </c>
      <c r="E380" s="9" t="s">
        <v>1868</v>
      </c>
      <c r="F380" s="9"/>
      <c r="G380" s="9" t="s">
        <v>104</v>
      </c>
      <c r="H380" s="9" t="s">
        <v>97</v>
      </c>
      <c r="I380" s="9" t="s">
        <v>1869</v>
      </c>
      <c r="J380" s="9" t="s">
        <v>1870</v>
      </c>
      <c r="K380" s="9" t="s">
        <v>1871</v>
      </c>
      <c r="L380" s="9" t="s">
        <v>1872</v>
      </c>
      <c r="M380" s="9"/>
      <c r="N380" s="9"/>
      <c r="O380" s="11" t="s">
        <v>101</v>
      </c>
      <c r="P380" s="12">
        <v>24.887310639999999</v>
      </c>
      <c r="Q380" s="12">
        <v>-105.07285066999999</v>
      </c>
      <c r="R380" s="9" t="s">
        <v>1873</v>
      </c>
      <c r="S380" s="13"/>
      <c r="T380" s="13"/>
      <c r="U380" s="13"/>
    </row>
    <row r="381" spans="1:21" x14ac:dyDescent="0.3">
      <c r="A381" s="9">
        <v>380</v>
      </c>
      <c r="B381" s="9" t="s">
        <v>41</v>
      </c>
      <c r="C381" s="9" t="s">
        <v>56</v>
      </c>
      <c r="D381" s="9" t="s">
        <v>56</v>
      </c>
      <c r="E381" s="9" t="s">
        <v>1874</v>
      </c>
      <c r="F381" s="9"/>
      <c r="G381" s="9" t="s">
        <v>104</v>
      </c>
      <c r="H381" s="9" t="s">
        <v>97</v>
      </c>
      <c r="I381" s="9" t="s">
        <v>1875</v>
      </c>
      <c r="J381" s="9" t="s">
        <v>1041</v>
      </c>
      <c r="K381" s="9" t="s">
        <v>1876</v>
      </c>
      <c r="L381" s="9" t="s">
        <v>1877</v>
      </c>
      <c r="M381" s="9"/>
      <c r="N381" s="9"/>
      <c r="O381" s="11" t="s">
        <v>101</v>
      </c>
      <c r="P381" s="12">
        <v>24.890101810000001</v>
      </c>
      <c r="Q381" s="12">
        <v>-105.07006577999999</v>
      </c>
      <c r="R381" s="9" t="s">
        <v>1878</v>
      </c>
      <c r="S381" s="13"/>
      <c r="T381" s="13"/>
      <c r="U381" s="13"/>
    </row>
    <row r="382" spans="1:21" x14ac:dyDescent="0.3">
      <c r="A382" s="9">
        <v>381</v>
      </c>
      <c r="B382" s="9" t="s">
        <v>41</v>
      </c>
      <c r="C382" s="9" t="s">
        <v>56</v>
      </c>
      <c r="D382" s="9" t="s">
        <v>56</v>
      </c>
      <c r="E382" s="9" t="s">
        <v>1879</v>
      </c>
      <c r="F382" s="9"/>
      <c r="G382" s="9" t="s">
        <v>104</v>
      </c>
      <c r="H382" s="9" t="s">
        <v>97</v>
      </c>
      <c r="I382" s="9" t="s">
        <v>1869</v>
      </c>
      <c r="J382" s="9" t="s">
        <v>1880</v>
      </c>
      <c r="K382" s="9" t="s">
        <v>1876</v>
      </c>
      <c r="L382" s="9" t="s">
        <v>1881</v>
      </c>
      <c r="M382" s="9"/>
      <c r="N382" s="9"/>
      <c r="O382" s="11" t="s">
        <v>101</v>
      </c>
      <c r="P382" s="12">
        <v>24.890481210000001</v>
      </c>
      <c r="Q382" s="12">
        <v>-105.06944217</v>
      </c>
      <c r="R382" s="9" t="s">
        <v>1882</v>
      </c>
      <c r="S382" s="13"/>
      <c r="T382" s="13"/>
      <c r="U382" s="13"/>
    </row>
    <row r="383" spans="1:21" x14ac:dyDescent="0.3">
      <c r="A383" s="9">
        <v>382</v>
      </c>
      <c r="B383" s="9" t="s">
        <v>41</v>
      </c>
      <c r="C383" s="9" t="s">
        <v>56</v>
      </c>
      <c r="D383" s="9" t="s">
        <v>56</v>
      </c>
      <c r="E383" s="9" t="s">
        <v>1879</v>
      </c>
      <c r="F383" s="9"/>
      <c r="G383" s="9" t="s">
        <v>104</v>
      </c>
      <c r="H383" s="9" t="s">
        <v>97</v>
      </c>
      <c r="I383" s="9" t="s">
        <v>1883</v>
      </c>
      <c r="J383" s="9" t="s">
        <v>1884</v>
      </c>
      <c r="K383" s="9" t="s">
        <v>1871</v>
      </c>
      <c r="L383" s="9"/>
      <c r="M383" s="9"/>
      <c r="N383" s="9"/>
      <c r="O383" s="11" t="s">
        <v>101</v>
      </c>
      <c r="P383" s="12">
        <v>24.887374810000001</v>
      </c>
      <c r="Q383" s="12">
        <v>-105.07143952</v>
      </c>
      <c r="R383" s="9" t="s">
        <v>1885</v>
      </c>
      <c r="S383" s="13"/>
      <c r="T383" s="13"/>
      <c r="U383" s="13"/>
    </row>
    <row r="384" spans="1:21" x14ac:dyDescent="0.3">
      <c r="A384" s="9">
        <v>383</v>
      </c>
      <c r="B384" s="9" t="s">
        <v>41</v>
      </c>
      <c r="C384" s="9" t="s">
        <v>66</v>
      </c>
      <c r="D384" s="9" t="s">
        <v>1886</v>
      </c>
      <c r="E384" s="9" t="s">
        <v>1887</v>
      </c>
      <c r="F384" s="9"/>
      <c r="G384" s="9" t="s">
        <v>104</v>
      </c>
      <c r="H384" s="9" t="s">
        <v>97</v>
      </c>
      <c r="I384" s="9" t="s">
        <v>1888</v>
      </c>
      <c r="J384" s="9" t="s">
        <v>1041</v>
      </c>
      <c r="K384" s="9" t="s">
        <v>1889</v>
      </c>
      <c r="L384" s="9" t="s">
        <v>1890</v>
      </c>
      <c r="M384" s="9"/>
      <c r="N384" s="9"/>
      <c r="O384" s="11" t="s">
        <v>101</v>
      </c>
      <c r="P384" s="12">
        <v>26.40004309</v>
      </c>
      <c r="Q384" s="12">
        <v>-105.39074592</v>
      </c>
      <c r="R384" s="9" t="s">
        <v>1891</v>
      </c>
      <c r="S384" s="13"/>
      <c r="T384" s="13"/>
      <c r="U384" s="13"/>
    </row>
    <row r="385" spans="1:21" x14ac:dyDescent="0.3">
      <c r="A385" s="9">
        <v>384</v>
      </c>
      <c r="B385" s="9" t="s">
        <v>41</v>
      </c>
      <c r="C385" s="9" t="s">
        <v>66</v>
      </c>
      <c r="D385" s="9" t="s">
        <v>1886</v>
      </c>
      <c r="E385" s="9" t="s">
        <v>549</v>
      </c>
      <c r="F385" s="9"/>
      <c r="G385" s="9" t="s">
        <v>104</v>
      </c>
      <c r="H385" s="9" t="s">
        <v>97</v>
      </c>
      <c r="I385" s="9" t="s">
        <v>1892</v>
      </c>
      <c r="J385" s="9" t="s">
        <v>1893</v>
      </c>
      <c r="K385" s="9" t="s">
        <v>1889</v>
      </c>
      <c r="L385" s="9" t="s">
        <v>1894</v>
      </c>
      <c r="M385" s="9"/>
      <c r="N385" s="9"/>
      <c r="O385" s="11" t="s">
        <v>101</v>
      </c>
      <c r="P385" s="12">
        <v>26.401918380000001</v>
      </c>
      <c r="Q385" s="12">
        <v>-105.39422503</v>
      </c>
      <c r="R385" s="9" t="s">
        <v>1895</v>
      </c>
      <c r="S385" s="13"/>
      <c r="T385" s="13"/>
      <c r="U385" s="13"/>
    </row>
    <row r="386" spans="1:21" x14ac:dyDescent="0.3">
      <c r="A386" s="9">
        <v>385</v>
      </c>
      <c r="B386" s="9" t="s">
        <v>41</v>
      </c>
      <c r="C386" s="9" t="s">
        <v>67</v>
      </c>
      <c r="D386" s="9" t="s">
        <v>1896</v>
      </c>
      <c r="E386" s="9" t="s">
        <v>1897</v>
      </c>
      <c r="F386" s="9"/>
      <c r="G386" s="9" t="s">
        <v>104</v>
      </c>
      <c r="H386" s="9" t="s">
        <v>97</v>
      </c>
      <c r="I386" s="9" t="s">
        <v>1898</v>
      </c>
      <c r="J386" s="9" t="s">
        <v>239</v>
      </c>
      <c r="K386" s="9" t="s">
        <v>1899</v>
      </c>
      <c r="L386" s="9" t="s">
        <v>1900</v>
      </c>
      <c r="M386" s="9"/>
      <c r="N386" s="9"/>
      <c r="O386" s="11" t="s">
        <v>101</v>
      </c>
      <c r="P386" s="12">
        <v>24.40182102</v>
      </c>
      <c r="Q386" s="12">
        <v>-104.31748683000001</v>
      </c>
      <c r="R386" s="9" t="s">
        <v>1901</v>
      </c>
      <c r="S386" s="13"/>
      <c r="T386" s="13"/>
      <c r="U386" s="13"/>
    </row>
    <row r="387" spans="1:21" x14ac:dyDescent="0.3">
      <c r="A387" s="9">
        <v>386</v>
      </c>
      <c r="B387" s="9" t="s">
        <v>41</v>
      </c>
      <c r="C387" s="9" t="s">
        <v>67</v>
      </c>
      <c r="D387" s="9" t="s">
        <v>1896</v>
      </c>
      <c r="E387" s="9" t="s">
        <v>1902</v>
      </c>
      <c r="F387" s="9" t="s">
        <v>1903</v>
      </c>
      <c r="G387" s="9" t="s">
        <v>104</v>
      </c>
      <c r="H387" s="9" t="s">
        <v>97</v>
      </c>
      <c r="I387" s="9" t="s">
        <v>1904</v>
      </c>
      <c r="J387" s="9" t="s">
        <v>1041</v>
      </c>
      <c r="K387" s="9" t="s">
        <v>1899</v>
      </c>
      <c r="L387" s="9"/>
      <c r="M387" s="9"/>
      <c r="N387" s="9"/>
      <c r="O387" s="11" t="s">
        <v>101</v>
      </c>
      <c r="P387" s="12">
        <v>24.402857399999998</v>
      </c>
      <c r="Q387" s="12">
        <v>-104.32036862</v>
      </c>
      <c r="R387" s="9" t="s">
        <v>1905</v>
      </c>
      <c r="S387" s="13"/>
      <c r="T387" s="13"/>
      <c r="U387" s="13"/>
    </row>
    <row r="388" spans="1:21" x14ac:dyDescent="0.3">
      <c r="A388" s="9">
        <v>387</v>
      </c>
      <c r="B388" s="9" t="s">
        <v>41</v>
      </c>
      <c r="C388" s="9" t="s">
        <v>57</v>
      </c>
      <c r="D388" s="9" t="s">
        <v>1906</v>
      </c>
      <c r="E388" s="9" t="s">
        <v>1907</v>
      </c>
      <c r="F388" s="9" t="s">
        <v>1908</v>
      </c>
      <c r="G388" s="9" t="s">
        <v>104</v>
      </c>
      <c r="H388" s="9" t="s">
        <v>97</v>
      </c>
      <c r="I388" s="9" t="s">
        <v>1909</v>
      </c>
      <c r="J388" s="9" t="s">
        <v>1041</v>
      </c>
      <c r="K388" s="9" t="s">
        <v>1910</v>
      </c>
      <c r="L388" s="9" t="s">
        <v>1911</v>
      </c>
      <c r="M388" s="9"/>
      <c r="N388" s="9"/>
      <c r="O388" s="11" t="s">
        <v>101</v>
      </c>
      <c r="P388" s="12">
        <v>23.971604559999999</v>
      </c>
      <c r="Q388" s="12">
        <v>-104.04657466</v>
      </c>
      <c r="R388" s="9" t="s">
        <v>1912</v>
      </c>
      <c r="S388" s="13"/>
      <c r="T388" s="13"/>
      <c r="U388" s="13"/>
    </row>
    <row r="389" spans="1:21" x14ac:dyDescent="0.3">
      <c r="A389" s="9">
        <v>388</v>
      </c>
      <c r="B389" s="9" t="s">
        <v>41</v>
      </c>
      <c r="C389" s="9" t="s">
        <v>57</v>
      </c>
      <c r="D389" s="9" t="s">
        <v>1906</v>
      </c>
      <c r="E389" s="9" t="s">
        <v>1913</v>
      </c>
      <c r="F389" s="9"/>
      <c r="G389" s="9" t="s">
        <v>104</v>
      </c>
      <c r="H389" s="9" t="s">
        <v>97</v>
      </c>
      <c r="I389" s="9" t="s">
        <v>1914</v>
      </c>
      <c r="J389" s="9" t="s">
        <v>1041</v>
      </c>
      <c r="K389" s="9" t="s">
        <v>1910</v>
      </c>
      <c r="L389" s="9"/>
      <c r="M389" s="9"/>
      <c r="N389" s="9"/>
      <c r="O389" s="11" t="s">
        <v>101</v>
      </c>
      <c r="P389" s="12">
        <v>23.973106569999999</v>
      </c>
      <c r="Q389" s="12">
        <v>-104.04571802</v>
      </c>
      <c r="R389" s="9" t="s">
        <v>1915</v>
      </c>
      <c r="S389" s="13"/>
      <c r="T389" s="13"/>
      <c r="U389" s="13"/>
    </row>
    <row r="390" spans="1:21" x14ac:dyDescent="0.3">
      <c r="A390" s="9">
        <v>389</v>
      </c>
      <c r="B390" s="9" t="s">
        <v>41</v>
      </c>
      <c r="C390" s="9" t="s">
        <v>57</v>
      </c>
      <c r="D390" s="9" t="s">
        <v>1906</v>
      </c>
      <c r="E390" s="9" t="s">
        <v>1916</v>
      </c>
      <c r="F390" s="9"/>
      <c r="G390" s="9" t="s">
        <v>104</v>
      </c>
      <c r="H390" s="9" t="s">
        <v>97</v>
      </c>
      <c r="I390" s="9" t="s">
        <v>1917</v>
      </c>
      <c r="J390" s="9" t="s">
        <v>1918</v>
      </c>
      <c r="K390" s="9" t="s">
        <v>1910</v>
      </c>
      <c r="L390" s="9" t="s">
        <v>1919</v>
      </c>
      <c r="M390" s="9"/>
      <c r="N390" s="9"/>
      <c r="O390" s="11" t="s">
        <v>101</v>
      </c>
      <c r="P390" s="12">
        <v>23.97605287</v>
      </c>
      <c r="Q390" s="12">
        <v>-104.04380585</v>
      </c>
      <c r="R390" s="9" t="s">
        <v>1920</v>
      </c>
      <c r="S390" s="13"/>
      <c r="T390" s="13"/>
      <c r="U390" s="13"/>
    </row>
    <row r="391" spans="1:21" x14ac:dyDescent="0.3">
      <c r="A391" s="9">
        <v>390</v>
      </c>
      <c r="B391" s="9" t="s">
        <v>41</v>
      </c>
      <c r="C391" s="9" t="s">
        <v>57</v>
      </c>
      <c r="D391" s="9" t="s">
        <v>1906</v>
      </c>
      <c r="E391" s="9" t="s">
        <v>1921</v>
      </c>
      <c r="F391" s="9"/>
      <c r="G391" s="9" t="s">
        <v>104</v>
      </c>
      <c r="H391" s="9" t="s">
        <v>97</v>
      </c>
      <c r="I391" s="9" t="s">
        <v>1922</v>
      </c>
      <c r="J391" s="9" t="s">
        <v>1923</v>
      </c>
      <c r="K391" s="9" t="s">
        <v>1924</v>
      </c>
      <c r="L391" s="9" t="s">
        <v>1925</v>
      </c>
      <c r="M391" s="9"/>
      <c r="N391" s="9"/>
      <c r="O391" s="11" t="s">
        <v>101</v>
      </c>
      <c r="P391" s="12">
        <v>23.97466502</v>
      </c>
      <c r="Q391" s="12">
        <v>-104.05195194</v>
      </c>
      <c r="R391" s="9" t="s">
        <v>1926</v>
      </c>
      <c r="S391" s="13"/>
      <c r="T391" s="13"/>
      <c r="U391" s="13"/>
    </row>
    <row r="392" spans="1:21" x14ac:dyDescent="0.3">
      <c r="A392" s="9">
        <v>391</v>
      </c>
      <c r="B392" s="9" t="s">
        <v>41</v>
      </c>
      <c r="C392" s="9" t="s">
        <v>59</v>
      </c>
      <c r="D392" s="9" t="s">
        <v>1927</v>
      </c>
      <c r="E392" s="9" t="s">
        <v>187</v>
      </c>
      <c r="F392" s="9"/>
      <c r="G392" s="9" t="s">
        <v>104</v>
      </c>
      <c r="H392" s="9" t="s">
        <v>97</v>
      </c>
      <c r="I392" s="9" t="s">
        <v>1928</v>
      </c>
      <c r="J392" s="9" t="s">
        <v>1884</v>
      </c>
      <c r="K392" s="9" t="s">
        <v>1929</v>
      </c>
      <c r="L392" s="9" t="s">
        <v>1930</v>
      </c>
      <c r="M392" s="9"/>
      <c r="N392" s="9"/>
      <c r="O392" s="11" t="s">
        <v>101</v>
      </c>
      <c r="P392" s="12">
        <v>23.78173331</v>
      </c>
      <c r="Q392" s="12">
        <v>-105.36123745</v>
      </c>
      <c r="R392" s="9" t="s">
        <v>1931</v>
      </c>
      <c r="S392" s="13"/>
      <c r="T392" s="13"/>
      <c r="U392" s="13"/>
    </row>
    <row r="393" spans="1:21" x14ac:dyDescent="0.3">
      <c r="A393" s="9">
        <v>392</v>
      </c>
      <c r="B393" s="9" t="s">
        <v>41</v>
      </c>
      <c r="C393" s="9" t="s">
        <v>59</v>
      </c>
      <c r="D393" s="9" t="s">
        <v>1927</v>
      </c>
      <c r="E393" s="9" t="s">
        <v>237</v>
      </c>
      <c r="F393" s="9"/>
      <c r="G393" s="9" t="s">
        <v>104</v>
      </c>
      <c r="H393" s="9" t="s">
        <v>97</v>
      </c>
      <c r="I393" s="9" t="s">
        <v>1837</v>
      </c>
      <c r="J393" s="9" t="s">
        <v>1041</v>
      </c>
      <c r="K393" s="9" t="s">
        <v>1929</v>
      </c>
      <c r="L393" s="9" t="s">
        <v>1932</v>
      </c>
      <c r="M393" s="9" t="s">
        <v>1933</v>
      </c>
      <c r="N393" s="9"/>
      <c r="O393" s="11" t="s">
        <v>101</v>
      </c>
      <c r="P393" s="12">
        <v>23.78153593</v>
      </c>
      <c r="Q393" s="12">
        <v>-105.36067275000001</v>
      </c>
      <c r="R393" s="9" t="s">
        <v>1934</v>
      </c>
      <c r="S393" s="13"/>
      <c r="T393" s="13"/>
      <c r="U393" s="13"/>
    </row>
    <row r="394" spans="1:21" x14ac:dyDescent="0.3">
      <c r="A394" s="9">
        <v>393</v>
      </c>
      <c r="B394" s="9" t="s">
        <v>41</v>
      </c>
      <c r="C394" s="9" t="s">
        <v>59</v>
      </c>
      <c r="D394" s="9" t="s">
        <v>1935</v>
      </c>
      <c r="E394" s="9" t="s">
        <v>549</v>
      </c>
      <c r="F394" s="9"/>
      <c r="G394" s="9" t="s">
        <v>104</v>
      </c>
      <c r="H394" s="9" t="s">
        <v>97</v>
      </c>
      <c r="I394" s="9" t="s">
        <v>1936</v>
      </c>
      <c r="J394" s="9" t="s">
        <v>1937</v>
      </c>
      <c r="K394" s="9" t="s">
        <v>1938</v>
      </c>
      <c r="L394" s="9"/>
      <c r="M394" s="9"/>
      <c r="N394" s="9"/>
      <c r="O394" s="11" t="s">
        <v>101</v>
      </c>
      <c r="P394" s="12">
        <v>23.72769392</v>
      </c>
      <c r="Q394" s="12">
        <v>-105.69206871999999</v>
      </c>
      <c r="R394" s="9" t="s">
        <v>1939</v>
      </c>
      <c r="S394" s="13"/>
      <c r="T394" s="13"/>
      <c r="U394" s="13"/>
    </row>
    <row r="395" spans="1:21" x14ac:dyDescent="0.3">
      <c r="A395" s="9">
        <v>394</v>
      </c>
      <c r="B395" s="9" t="s">
        <v>41</v>
      </c>
      <c r="C395" s="9" t="s">
        <v>60</v>
      </c>
      <c r="D395" s="9" t="s">
        <v>60</v>
      </c>
      <c r="E395" s="9" t="s">
        <v>564</v>
      </c>
      <c r="F395" s="9"/>
      <c r="G395" s="9" t="s">
        <v>104</v>
      </c>
      <c r="H395" s="9" t="s">
        <v>97</v>
      </c>
      <c r="I395" s="9" t="s">
        <v>1940</v>
      </c>
      <c r="J395" s="9" t="s">
        <v>1941</v>
      </c>
      <c r="K395" s="9" t="s">
        <v>1942</v>
      </c>
      <c r="L395" s="9" t="s">
        <v>1943</v>
      </c>
      <c r="M395" s="9"/>
      <c r="N395" s="9"/>
      <c r="O395" s="11" t="s">
        <v>101</v>
      </c>
      <c r="P395" s="12">
        <v>25.17835075</v>
      </c>
      <c r="Q395" s="12">
        <v>-104.55945109</v>
      </c>
      <c r="R395" s="9" t="s">
        <v>1944</v>
      </c>
      <c r="S395" s="13"/>
      <c r="T395" s="13"/>
      <c r="U395" s="13"/>
    </row>
    <row r="396" spans="1:21" x14ac:dyDescent="0.3">
      <c r="A396" s="9">
        <v>395</v>
      </c>
      <c r="B396" s="9" t="s">
        <v>41</v>
      </c>
      <c r="C396" s="9" t="s">
        <v>60</v>
      </c>
      <c r="D396" s="9" t="s">
        <v>60</v>
      </c>
      <c r="E396" s="9" t="s">
        <v>564</v>
      </c>
      <c r="F396" s="9"/>
      <c r="G396" s="9" t="s">
        <v>104</v>
      </c>
      <c r="H396" s="9" t="s">
        <v>97</v>
      </c>
      <c r="I396" s="9" t="s">
        <v>1945</v>
      </c>
      <c r="J396" s="9" t="s">
        <v>82</v>
      </c>
      <c r="K396" s="9" t="s">
        <v>1942</v>
      </c>
      <c r="L396" s="9" t="s">
        <v>1850</v>
      </c>
      <c r="M396" s="9"/>
      <c r="N396" s="9"/>
      <c r="O396" s="11" t="s">
        <v>101</v>
      </c>
      <c r="P396" s="12">
        <v>25.16228353</v>
      </c>
      <c r="Q396" s="12">
        <v>-104.5519505</v>
      </c>
      <c r="R396" s="9" t="s">
        <v>1946</v>
      </c>
      <c r="S396" s="13"/>
      <c r="T396" s="13"/>
      <c r="U396" s="13"/>
    </row>
    <row r="397" spans="1:21" x14ac:dyDescent="0.3">
      <c r="A397" s="9">
        <v>396</v>
      </c>
      <c r="B397" s="9" t="s">
        <v>41</v>
      </c>
      <c r="C397" s="9" t="s">
        <v>60</v>
      </c>
      <c r="D397" s="9" t="s">
        <v>60</v>
      </c>
      <c r="E397" s="9" t="s">
        <v>1947</v>
      </c>
      <c r="F397" s="9"/>
      <c r="G397" s="9" t="s">
        <v>96</v>
      </c>
      <c r="H397" s="9" t="s">
        <v>97</v>
      </c>
      <c r="I397" s="9" t="s">
        <v>1945</v>
      </c>
      <c r="J397" s="9" t="s">
        <v>1041</v>
      </c>
      <c r="K397" s="9" t="s">
        <v>1942</v>
      </c>
      <c r="L397" s="9" t="s">
        <v>1948</v>
      </c>
      <c r="M397" s="9"/>
      <c r="N397" s="9"/>
      <c r="O397" s="11" t="s">
        <v>101</v>
      </c>
      <c r="P397" s="12">
        <v>25.18824145</v>
      </c>
      <c r="Q397" s="12">
        <v>-104.56363202999999</v>
      </c>
      <c r="R397" s="9" t="s">
        <v>1949</v>
      </c>
      <c r="S397" s="13"/>
      <c r="T397" s="13"/>
      <c r="U397" s="13"/>
    </row>
    <row r="398" spans="1:21" x14ac:dyDescent="0.3">
      <c r="A398" s="9">
        <v>397</v>
      </c>
      <c r="B398" s="9" t="s">
        <v>41</v>
      </c>
      <c r="C398" s="9" t="s">
        <v>71</v>
      </c>
      <c r="D398" s="9" t="s">
        <v>1950</v>
      </c>
      <c r="E398" s="9" t="s">
        <v>1897</v>
      </c>
      <c r="F398" s="9"/>
      <c r="G398" s="9" t="s">
        <v>104</v>
      </c>
      <c r="H398" s="9" t="s">
        <v>97</v>
      </c>
      <c r="I398" s="9" t="s">
        <v>1951</v>
      </c>
      <c r="J398" s="9" t="s">
        <v>1952</v>
      </c>
      <c r="K398" s="9" t="s">
        <v>1953</v>
      </c>
      <c r="L398" s="9"/>
      <c r="M398" s="9"/>
      <c r="N398" s="9"/>
      <c r="O398" s="11" t="s">
        <v>101</v>
      </c>
      <c r="P398" s="12">
        <v>24.104626929999998</v>
      </c>
      <c r="Q398" s="12">
        <v>-105.93043856</v>
      </c>
      <c r="R398" s="9" t="s">
        <v>1954</v>
      </c>
      <c r="S398" s="13"/>
      <c r="T398" s="13"/>
      <c r="U398" s="13"/>
    </row>
    <row r="399" spans="1:21" x14ac:dyDescent="0.3">
      <c r="A399" s="9">
        <v>398</v>
      </c>
      <c r="B399" s="9" t="s">
        <v>41</v>
      </c>
      <c r="C399" s="9" t="s">
        <v>72</v>
      </c>
      <c r="D399" s="9" t="s">
        <v>1955</v>
      </c>
      <c r="E399" s="9" t="s">
        <v>1956</v>
      </c>
      <c r="F399" s="9"/>
      <c r="G399" s="9" t="s">
        <v>104</v>
      </c>
      <c r="H399" s="9" t="s">
        <v>97</v>
      </c>
      <c r="I399" s="9" t="s">
        <v>1790</v>
      </c>
      <c r="J399" s="9" t="s">
        <v>1957</v>
      </c>
      <c r="K399" s="9" t="s">
        <v>1958</v>
      </c>
      <c r="L399" s="9"/>
      <c r="M399" s="9"/>
      <c r="N399" s="9"/>
      <c r="O399" s="11" t="s">
        <v>101</v>
      </c>
      <c r="P399" s="12">
        <v>24.778343570000001</v>
      </c>
      <c r="Q399" s="12">
        <v>-104.46424406</v>
      </c>
      <c r="R399" s="9" t="s">
        <v>1959</v>
      </c>
      <c r="S399" s="13"/>
      <c r="T399" s="13"/>
      <c r="U399" s="13"/>
    </row>
    <row r="400" spans="1:21" x14ac:dyDescent="0.3">
      <c r="A400" s="9">
        <v>399</v>
      </c>
      <c r="B400" s="9" t="s">
        <v>41</v>
      </c>
      <c r="C400" s="9" t="s">
        <v>53</v>
      </c>
      <c r="D400" s="9" t="s">
        <v>53</v>
      </c>
      <c r="E400" s="9" t="s">
        <v>1960</v>
      </c>
      <c r="F400" s="9"/>
      <c r="G400" s="9" t="s">
        <v>96</v>
      </c>
      <c r="H400" s="9" t="s">
        <v>97</v>
      </c>
      <c r="I400" s="9" t="s">
        <v>1961</v>
      </c>
      <c r="J400" s="9" t="s">
        <v>1041</v>
      </c>
      <c r="K400" s="9" t="s">
        <v>1962</v>
      </c>
      <c r="L400" s="9"/>
      <c r="M400" s="9"/>
      <c r="N400" s="9"/>
      <c r="O400" s="11" t="s">
        <v>101</v>
      </c>
      <c r="P400" s="12">
        <v>25.0400761</v>
      </c>
      <c r="Q400" s="12">
        <v>-105.42047248</v>
      </c>
      <c r="R400" s="9" t="s">
        <v>1963</v>
      </c>
      <c r="S400" s="13"/>
      <c r="T400" s="13"/>
      <c r="U400" s="13"/>
    </row>
    <row r="401" spans="1:21" x14ac:dyDescent="0.3">
      <c r="A401" s="9">
        <v>400</v>
      </c>
      <c r="B401" s="9" t="s">
        <v>41</v>
      </c>
      <c r="C401" s="9" t="s">
        <v>53</v>
      </c>
      <c r="D401" s="9" t="s">
        <v>53</v>
      </c>
      <c r="E401" s="9" t="s">
        <v>187</v>
      </c>
      <c r="F401" s="9"/>
      <c r="G401" s="9" t="s">
        <v>104</v>
      </c>
      <c r="H401" s="9" t="s">
        <v>97</v>
      </c>
      <c r="I401" s="9" t="s">
        <v>1964</v>
      </c>
      <c r="J401" s="9" t="s">
        <v>1965</v>
      </c>
      <c r="K401" s="9" t="s">
        <v>1966</v>
      </c>
      <c r="L401" s="9"/>
      <c r="M401" s="9"/>
      <c r="N401" s="9"/>
      <c r="O401" s="11" t="s">
        <v>101</v>
      </c>
      <c r="P401" s="12">
        <v>25.04655829</v>
      </c>
      <c r="Q401" s="12">
        <v>-105.41868830999999</v>
      </c>
      <c r="R401" s="9" t="s">
        <v>1967</v>
      </c>
      <c r="S401" s="13"/>
      <c r="T401" s="13"/>
      <c r="U401" s="13"/>
    </row>
    <row r="402" spans="1:21" x14ac:dyDescent="0.3">
      <c r="A402" s="9">
        <v>401</v>
      </c>
      <c r="B402" s="9" t="s">
        <v>41</v>
      </c>
      <c r="C402" s="9" t="s">
        <v>53</v>
      </c>
      <c r="D402" s="9" t="s">
        <v>53</v>
      </c>
      <c r="E402" s="9" t="s">
        <v>284</v>
      </c>
      <c r="F402" s="9"/>
      <c r="G402" s="9" t="s">
        <v>104</v>
      </c>
      <c r="H402" s="9" t="s">
        <v>97</v>
      </c>
      <c r="I402" s="9" t="s">
        <v>1968</v>
      </c>
      <c r="J402" s="9" t="s">
        <v>1965</v>
      </c>
      <c r="K402" s="9" t="s">
        <v>1966</v>
      </c>
      <c r="L402" s="9" t="s">
        <v>1969</v>
      </c>
      <c r="M402" s="9"/>
      <c r="N402" s="9"/>
      <c r="O402" s="11" t="s">
        <v>101</v>
      </c>
      <c r="P402" s="12">
        <v>25.04717625</v>
      </c>
      <c r="Q402" s="12">
        <v>-105.4178189</v>
      </c>
      <c r="R402" s="9" t="s">
        <v>1970</v>
      </c>
      <c r="S402" s="13"/>
      <c r="T402" s="13"/>
      <c r="U402" s="13"/>
    </row>
    <row r="403" spans="1:21" x14ac:dyDescent="0.3">
      <c r="A403" s="9">
        <v>402</v>
      </c>
      <c r="B403" s="9" t="s">
        <v>41</v>
      </c>
      <c r="C403" s="9" t="s">
        <v>53</v>
      </c>
      <c r="D403" s="9" t="s">
        <v>53</v>
      </c>
      <c r="E403" s="9" t="s">
        <v>1971</v>
      </c>
      <c r="F403" s="9"/>
      <c r="G403" s="9" t="s">
        <v>104</v>
      </c>
      <c r="H403" s="9" t="s">
        <v>97</v>
      </c>
      <c r="I403" s="9" t="s">
        <v>1972</v>
      </c>
      <c r="J403" s="9" t="s">
        <v>1973</v>
      </c>
      <c r="K403" s="9" t="s">
        <v>1962</v>
      </c>
      <c r="L403" s="9" t="s">
        <v>1974</v>
      </c>
      <c r="M403" s="9"/>
      <c r="N403" s="9"/>
      <c r="O403" s="11" t="s">
        <v>101</v>
      </c>
      <c r="P403" s="12">
        <v>25.045921589999999</v>
      </c>
      <c r="Q403" s="12">
        <v>-105.43196447</v>
      </c>
      <c r="R403" s="9" t="s">
        <v>1975</v>
      </c>
      <c r="S403" s="13"/>
      <c r="T403" s="13"/>
      <c r="U403" s="13"/>
    </row>
    <row r="404" spans="1:21" x14ac:dyDescent="0.3">
      <c r="A404" s="9">
        <v>403</v>
      </c>
      <c r="B404" s="9" t="s">
        <v>41</v>
      </c>
      <c r="C404" s="9" t="s">
        <v>53</v>
      </c>
      <c r="D404" s="9" t="s">
        <v>53</v>
      </c>
      <c r="E404" s="9" t="s">
        <v>1976</v>
      </c>
      <c r="F404" s="9"/>
      <c r="G404" s="9" t="s">
        <v>104</v>
      </c>
      <c r="H404" s="9" t="s">
        <v>97</v>
      </c>
      <c r="I404" s="9" t="s">
        <v>1977</v>
      </c>
      <c r="J404" s="9" t="s">
        <v>1978</v>
      </c>
      <c r="K404" s="9" t="s">
        <v>1966</v>
      </c>
      <c r="L404" s="9" t="s">
        <v>1979</v>
      </c>
      <c r="M404" s="9"/>
      <c r="N404" s="9"/>
      <c r="O404" s="11" t="s">
        <v>101</v>
      </c>
      <c r="P404" s="12">
        <v>25.048192310000001</v>
      </c>
      <c r="Q404" s="12">
        <v>-105.41992085</v>
      </c>
      <c r="R404" s="9" t="s">
        <v>1980</v>
      </c>
      <c r="S404" s="13"/>
      <c r="T404" s="13"/>
      <c r="U404" s="13"/>
    </row>
    <row r="405" spans="1:21" x14ac:dyDescent="0.3">
      <c r="A405" s="9">
        <v>404</v>
      </c>
      <c r="B405" s="9" t="s">
        <v>41</v>
      </c>
      <c r="C405" s="9" t="s">
        <v>53</v>
      </c>
      <c r="D405" s="9" t="s">
        <v>53</v>
      </c>
      <c r="E405" s="9" t="s">
        <v>1981</v>
      </c>
      <c r="F405" s="9"/>
      <c r="G405" s="9" t="s">
        <v>104</v>
      </c>
      <c r="H405" s="9" t="s">
        <v>97</v>
      </c>
      <c r="I405" s="9" t="s">
        <v>1982</v>
      </c>
      <c r="J405" s="9" t="s">
        <v>1965</v>
      </c>
      <c r="K405" s="9" t="s">
        <v>1966</v>
      </c>
      <c r="L405" s="9" t="s">
        <v>1983</v>
      </c>
      <c r="M405" s="9"/>
      <c r="N405" s="9"/>
      <c r="O405" s="11" t="s">
        <v>101</v>
      </c>
      <c r="P405" s="12">
        <v>25.04707325</v>
      </c>
      <c r="Q405" s="12">
        <v>-105.42255313</v>
      </c>
      <c r="R405" s="9" t="s">
        <v>1984</v>
      </c>
      <c r="S405" s="13"/>
      <c r="T405" s="13"/>
      <c r="U405" s="13"/>
    </row>
    <row r="406" spans="1:21" x14ac:dyDescent="0.3">
      <c r="A406" s="9">
        <v>405</v>
      </c>
      <c r="B406" s="9" t="s">
        <v>41</v>
      </c>
      <c r="C406" s="9" t="s">
        <v>53</v>
      </c>
      <c r="D406" s="9" t="s">
        <v>53</v>
      </c>
      <c r="E406" s="9" t="s">
        <v>1985</v>
      </c>
      <c r="F406" s="9" t="s">
        <v>1986</v>
      </c>
      <c r="G406" s="9" t="s">
        <v>104</v>
      </c>
      <c r="H406" s="9" t="s">
        <v>97</v>
      </c>
      <c r="I406" s="9" t="s">
        <v>1987</v>
      </c>
      <c r="J406" s="9" t="s">
        <v>1965</v>
      </c>
      <c r="K406" s="9" t="s">
        <v>1962</v>
      </c>
      <c r="L406" s="9" t="s">
        <v>1988</v>
      </c>
      <c r="M406" s="9"/>
      <c r="N406" s="9"/>
      <c r="O406" s="11" t="s">
        <v>101</v>
      </c>
      <c r="P406" s="12">
        <v>25.04531553</v>
      </c>
      <c r="Q406" s="12">
        <v>-105.41865063</v>
      </c>
      <c r="R406" s="9" t="s">
        <v>1989</v>
      </c>
      <c r="S406" s="13"/>
      <c r="T406" s="13"/>
      <c r="U406" s="13"/>
    </row>
    <row r="407" spans="1:21" x14ac:dyDescent="0.3">
      <c r="A407" s="9">
        <v>406</v>
      </c>
      <c r="B407" s="9" t="s">
        <v>41</v>
      </c>
      <c r="C407" s="9" t="s">
        <v>53</v>
      </c>
      <c r="D407" s="9" t="s">
        <v>53</v>
      </c>
      <c r="E407" s="9" t="s">
        <v>549</v>
      </c>
      <c r="F407" s="9"/>
      <c r="G407" s="9" t="s">
        <v>104</v>
      </c>
      <c r="H407" s="9" t="s">
        <v>97</v>
      </c>
      <c r="I407" s="9" t="s">
        <v>1990</v>
      </c>
      <c r="J407" s="9" t="s">
        <v>1991</v>
      </c>
      <c r="K407" s="9" t="s">
        <v>1962</v>
      </c>
      <c r="L407" s="9"/>
      <c r="M407" s="9"/>
      <c r="N407" s="9"/>
      <c r="O407" s="11" t="s">
        <v>101</v>
      </c>
      <c r="P407" s="12">
        <v>25.030421709999999</v>
      </c>
      <c r="Q407" s="12">
        <v>-105.42500475</v>
      </c>
      <c r="R407" s="9" t="s">
        <v>1992</v>
      </c>
      <c r="S407" s="13"/>
      <c r="T407" s="13"/>
      <c r="U407" s="13"/>
    </row>
    <row r="408" spans="1:21" x14ac:dyDescent="0.3">
      <c r="A408" s="9">
        <v>407</v>
      </c>
      <c r="B408" s="9" t="s">
        <v>41</v>
      </c>
      <c r="C408" s="9" t="s">
        <v>53</v>
      </c>
      <c r="D408" s="9" t="s">
        <v>53</v>
      </c>
      <c r="E408" s="9" t="s">
        <v>1993</v>
      </c>
      <c r="F408" s="9"/>
      <c r="G408" s="9" t="s">
        <v>96</v>
      </c>
      <c r="H408" s="9" t="s">
        <v>97</v>
      </c>
      <c r="I408" s="9" t="s">
        <v>1994</v>
      </c>
      <c r="J408" s="9" t="s">
        <v>1995</v>
      </c>
      <c r="K408" s="9" t="s">
        <v>1962</v>
      </c>
      <c r="L408" s="9" t="s">
        <v>1996</v>
      </c>
      <c r="M408" s="9"/>
      <c r="N408" s="9"/>
      <c r="O408" s="11" t="s">
        <v>101</v>
      </c>
      <c r="P408" s="12">
        <v>25.04511797</v>
      </c>
      <c r="Q408" s="12">
        <v>-105.42961738</v>
      </c>
      <c r="R408" s="9" t="s">
        <v>1997</v>
      </c>
      <c r="S408" s="13"/>
      <c r="T408" s="13"/>
      <c r="U408" s="13"/>
    </row>
    <row r="409" spans="1:21" x14ac:dyDescent="0.3">
      <c r="A409" s="9">
        <v>408</v>
      </c>
      <c r="B409" s="9" t="s">
        <v>41</v>
      </c>
      <c r="C409" s="9" t="s">
        <v>53</v>
      </c>
      <c r="D409" s="9" t="s">
        <v>53</v>
      </c>
      <c r="E409" s="9" t="s">
        <v>1998</v>
      </c>
      <c r="F409" s="9"/>
      <c r="G409" s="9" t="s">
        <v>790</v>
      </c>
      <c r="H409" s="9" t="s">
        <v>97</v>
      </c>
      <c r="I409" s="9" t="s">
        <v>1999</v>
      </c>
      <c r="J409" s="9" t="s">
        <v>1965</v>
      </c>
      <c r="K409" s="9" t="s">
        <v>1962</v>
      </c>
      <c r="L409" s="9" t="s">
        <v>2000</v>
      </c>
      <c r="M409" s="9"/>
      <c r="N409" s="9"/>
      <c r="O409" s="11" t="s">
        <v>101</v>
      </c>
      <c r="P409" s="12">
        <v>25.043940280000001</v>
      </c>
      <c r="Q409" s="12">
        <v>-105.41802778</v>
      </c>
      <c r="R409" s="9" t="s">
        <v>2001</v>
      </c>
      <c r="S409" s="13"/>
      <c r="T409" s="13"/>
      <c r="U409" s="13"/>
    </row>
    <row r="410" spans="1:21" x14ac:dyDescent="0.3">
      <c r="A410" s="9">
        <v>409</v>
      </c>
      <c r="B410" s="9" t="s">
        <v>41</v>
      </c>
      <c r="C410" s="9" t="s">
        <v>73</v>
      </c>
      <c r="D410" s="9" t="s">
        <v>2002</v>
      </c>
      <c r="E410" s="9" t="s">
        <v>2003</v>
      </c>
      <c r="F410" s="9" t="s">
        <v>2004</v>
      </c>
      <c r="G410" s="9" t="s">
        <v>104</v>
      </c>
      <c r="H410" s="9" t="s">
        <v>97</v>
      </c>
      <c r="I410" s="9" t="s">
        <v>1805</v>
      </c>
      <c r="J410" s="9" t="s">
        <v>1041</v>
      </c>
      <c r="K410" s="9" t="s">
        <v>2005</v>
      </c>
      <c r="L410" s="9" t="s">
        <v>2006</v>
      </c>
      <c r="M410" s="9"/>
      <c r="N410" s="9"/>
      <c r="O410" s="11" t="s">
        <v>101</v>
      </c>
      <c r="P410" s="12">
        <v>24.967853689999998</v>
      </c>
      <c r="Q410" s="12">
        <v>-106.96577587</v>
      </c>
      <c r="R410" s="9" t="s">
        <v>2007</v>
      </c>
      <c r="S410" s="13"/>
      <c r="T410" s="13"/>
      <c r="U410" s="13"/>
    </row>
    <row r="411" spans="1:21" x14ac:dyDescent="0.3">
      <c r="A411" s="9">
        <v>410</v>
      </c>
      <c r="B411" s="9" t="s">
        <v>41</v>
      </c>
      <c r="C411" s="9" t="s">
        <v>68</v>
      </c>
      <c r="D411" s="9" t="s">
        <v>2008</v>
      </c>
      <c r="E411" s="9" t="s">
        <v>187</v>
      </c>
      <c r="F411" s="9"/>
      <c r="G411" s="9" t="s">
        <v>104</v>
      </c>
      <c r="H411" s="9" t="s">
        <v>97</v>
      </c>
      <c r="I411" s="9" t="s">
        <v>2009</v>
      </c>
      <c r="J411" s="9" t="s">
        <v>2010</v>
      </c>
      <c r="K411" s="9" t="s">
        <v>2011</v>
      </c>
      <c r="L411" s="9"/>
      <c r="M411" s="9"/>
      <c r="N411" s="9"/>
      <c r="O411" s="11" t="s">
        <v>101</v>
      </c>
      <c r="P411" s="12">
        <v>25.33456018</v>
      </c>
      <c r="Q411" s="12">
        <v>-105.72080479</v>
      </c>
      <c r="R411" s="9" t="s">
        <v>2012</v>
      </c>
      <c r="S411" s="13"/>
      <c r="T411" s="13"/>
      <c r="U411" s="13"/>
    </row>
    <row r="412" spans="1:21" x14ac:dyDescent="0.3">
      <c r="A412" s="9">
        <v>411</v>
      </c>
      <c r="B412" s="9" t="s">
        <v>41</v>
      </c>
      <c r="C412" s="9" t="s">
        <v>68</v>
      </c>
      <c r="D412" s="9" t="s">
        <v>2008</v>
      </c>
      <c r="E412" s="9" t="s">
        <v>383</v>
      </c>
      <c r="F412" s="9"/>
      <c r="G412" s="9" t="s">
        <v>104</v>
      </c>
      <c r="H412" s="9" t="s">
        <v>97</v>
      </c>
      <c r="I412" s="9" t="s">
        <v>2013</v>
      </c>
      <c r="J412" s="9" t="s">
        <v>1041</v>
      </c>
      <c r="K412" s="9" t="s">
        <v>2011</v>
      </c>
      <c r="L412" s="9"/>
      <c r="M412" s="9"/>
      <c r="N412" s="9"/>
      <c r="O412" s="11" t="s">
        <v>101</v>
      </c>
      <c r="P412" s="12">
        <v>25.344023310000001</v>
      </c>
      <c r="Q412" s="12">
        <v>-105.72321724</v>
      </c>
      <c r="R412" s="9" t="s">
        <v>2014</v>
      </c>
      <c r="S412" s="13"/>
      <c r="T412" s="13"/>
      <c r="U412" s="13"/>
    </row>
    <row r="413" spans="1:21" x14ac:dyDescent="0.3">
      <c r="A413" s="9">
        <v>412</v>
      </c>
      <c r="B413" s="9" t="s">
        <v>41</v>
      </c>
      <c r="C413" s="9" t="s">
        <v>74</v>
      </c>
      <c r="D413" s="9" t="s">
        <v>2015</v>
      </c>
      <c r="E413" s="9" t="s">
        <v>2016</v>
      </c>
      <c r="F413" s="9"/>
      <c r="G413" s="9" t="s">
        <v>104</v>
      </c>
      <c r="H413" s="9" t="s">
        <v>97</v>
      </c>
      <c r="I413" s="9" t="s">
        <v>2017</v>
      </c>
      <c r="J413" s="9" t="s">
        <v>2018</v>
      </c>
      <c r="K413" s="9" t="s">
        <v>2019</v>
      </c>
      <c r="L413" s="9" t="s">
        <v>2020</v>
      </c>
      <c r="M413" s="9"/>
      <c r="N413" s="9"/>
      <c r="O413" s="11" t="s">
        <v>101</v>
      </c>
      <c r="P413" s="12">
        <v>26.103753139999998</v>
      </c>
      <c r="Q413" s="12">
        <v>-103.43694292000001</v>
      </c>
      <c r="R413" s="9" t="s">
        <v>2021</v>
      </c>
      <c r="S413" s="13"/>
      <c r="T413" s="13"/>
      <c r="U413" s="13"/>
    </row>
    <row r="414" spans="1:21" x14ac:dyDescent="0.3">
      <c r="A414" s="9">
        <v>413</v>
      </c>
      <c r="B414" s="9" t="s">
        <v>41</v>
      </c>
      <c r="C414" s="9" t="s">
        <v>61</v>
      </c>
      <c r="D414" s="9" t="s">
        <v>61</v>
      </c>
      <c r="E414" s="9" t="s">
        <v>2022</v>
      </c>
      <c r="F414" s="9"/>
      <c r="G414" s="9" t="s">
        <v>104</v>
      </c>
      <c r="H414" s="9" t="s">
        <v>97</v>
      </c>
      <c r="I414" s="9" t="s">
        <v>2023</v>
      </c>
      <c r="J414" s="9" t="s">
        <v>1041</v>
      </c>
      <c r="K414" s="9" t="s">
        <v>2024</v>
      </c>
      <c r="L414" s="9" t="s">
        <v>2025</v>
      </c>
      <c r="M414" s="9"/>
      <c r="N414" s="9"/>
      <c r="O414" s="11" t="s">
        <v>101</v>
      </c>
      <c r="P414" s="12">
        <v>23.7331194</v>
      </c>
      <c r="Q414" s="12">
        <v>-103.98799839</v>
      </c>
      <c r="R414" s="9" t="s">
        <v>2026</v>
      </c>
      <c r="S414" s="13"/>
      <c r="T414" s="13"/>
      <c r="U414" s="13"/>
    </row>
    <row r="415" spans="1:21" x14ac:dyDescent="0.3">
      <c r="A415" s="9">
        <v>414</v>
      </c>
      <c r="B415" s="9" t="s">
        <v>41</v>
      </c>
      <c r="C415" s="9" t="s">
        <v>61</v>
      </c>
      <c r="D415" s="9" t="s">
        <v>61</v>
      </c>
      <c r="E415" s="9" t="s">
        <v>340</v>
      </c>
      <c r="F415" s="9"/>
      <c r="G415" s="9" t="s">
        <v>104</v>
      </c>
      <c r="H415" s="9" t="s">
        <v>97</v>
      </c>
      <c r="I415" s="9" t="s">
        <v>2027</v>
      </c>
      <c r="J415" s="9" t="s">
        <v>1041</v>
      </c>
      <c r="K415" s="9" t="s">
        <v>2024</v>
      </c>
      <c r="L415" s="9"/>
      <c r="M415" s="9"/>
      <c r="N415" s="9"/>
      <c r="O415" s="11" t="s">
        <v>101</v>
      </c>
      <c r="P415" s="12">
        <v>23.731063410000001</v>
      </c>
      <c r="Q415" s="12">
        <v>-103.98647024</v>
      </c>
      <c r="R415" s="9" t="s">
        <v>2028</v>
      </c>
      <c r="S415" s="13"/>
      <c r="T415" s="13"/>
      <c r="U415" s="13"/>
    </row>
    <row r="416" spans="1:21" x14ac:dyDescent="0.3">
      <c r="A416" s="9">
        <v>415</v>
      </c>
      <c r="B416" s="9" t="s">
        <v>41</v>
      </c>
      <c r="C416" s="9" t="s">
        <v>61</v>
      </c>
      <c r="D416" s="9" t="s">
        <v>61</v>
      </c>
      <c r="E416" s="9" t="s">
        <v>2029</v>
      </c>
      <c r="F416" s="9"/>
      <c r="G416" s="9" t="s">
        <v>104</v>
      </c>
      <c r="H416" s="9" t="s">
        <v>97</v>
      </c>
      <c r="I416" s="9" t="s">
        <v>2030</v>
      </c>
      <c r="J416" s="9" t="s">
        <v>2031</v>
      </c>
      <c r="K416" s="9" t="s">
        <v>2024</v>
      </c>
      <c r="L416" s="9" t="s">
        <v>2032</v>
      </c>
      <c r="M416" s="9"/>
      <c r="N416" s="9"/>
      <c r="O416" s="11" t="s">
        <v>101</v>
      </c>
      <c r="P416" s="12">
        <v>23.740414309999998</v>
      </c>
      <c r="Q416" s="12">
        <v>-103.98256813</v>
      </c>
      <c r="R416" s="9" t="s">
        <v>2033</v>
      </c>
      <c r="S416" s="13"/>
      <c r="T416" s="13"/>
      <c r="U416" s="13"/>
    </row>
  </sheetData>
  <autoFilter ref="A1:U416" xr:uid="{00000000-0009-0000-0000-000003000000}"/>
  <dataValidations count="2">
    <dataValidation type="list" allowBlank="1" sqref="S2:S416" xr:uid="{00000000-0002-0000-0300-000000000000}">
      <formula1>"Sí,No"</formula1>
    </dataValidation>
    <dataValidation type="list" allowBlank="1" sqref="T2:T416" xr:uid="{00000000-0002-0000-0300-000001000000}">
      <formula1>"Le interesa,Quiere más información,No le interesa,No contestó,Número equivocado,Ya cerró"</formula1>
    </dataValidation>
  </dataValidations>
  <hyperlinks>
    <hyperlink ref="O2" r:id="rId1" xr:uid="{00000000-0004-0000-0300-000000000000}"/>
    <hyperlink ref="O3" r:id="rId2" xr:uid="{00000000-0004-0000-0300-000001000000}"/>
    <hyperlink ref="O4" r:id="rId3" xr:uid="{00000000-0004-0000-0300-000002000000}"/>
    <hyperlink ref="O5" r:id="rId4" xr:uid="{00000000-0004-0000-0300-000003000000}"/>
    <hyperlink ref="O6" r:id="rId5" xr:uid="{00000000-0004-0000-0300-000004000000}"/>
    <hyperlink ref="O7" r:id="rId6" xr:uid="{00000000-0004-0000-0300-000005000000}"/>
    <hyperlink ref="O8" r:id="rId7" xr:uid="{00000000-0004-0000-0300-000006000000}"/>
    <hyperlink ref="O9" r:id="rId8" xr:uid="{00000000-0004-0000-0300-000007000000}"/>
    <hyperlink ref="O10" r:id="rId9" xr:uid="{00000000-0004-0000-0300-000008000000}"/>
    <hyperlink ref="O11" r:id="rId10" xr:uid="{00000000-0004-0000-0300-000009000000}"/>
    <hyperlink ref="O12" r:id="rId11" xr:uid="{00000000-0004-0000-0300-00000A000000}"/>
    <hyperlink ref="O13" r:id="rId12" xr:uid="{00000000-0004-0000-0300-00000B000000}"/>
    <hyperlink ref="O14" r:id="rId13" xr:uid="{00000000-0004-0000-0300-00000C000000}"/>
    <hyperlink ref="O15" r:id="rId14" xr:uid="{00000000-0004-0000-0300-00000D000000}"/>
    <hyperlink ref="O16" r:id="rId15" xr:uid="{00000000-0004-0000-0300-00000E000000}"/>
    <hyperlink ref="O17" r:id="rId16" xr:uid="{00000000-0004-0000-0300-00000F000000}"/>
    <hyperlink ref="O18" r:id="rId17" xr:uid="{00000000-0004-0000-0300-000010000000}"/>
    <hyperlink ref="O19" r:id="rId18" xr:uid="{00000000-0004-0000-0300-000011000000}"/>
    <hyperlink ref="O20" r:id="rId19" xr:uid="{00000000-0004-0000-0300-000012000000}"/>
    <hyperlink ref="O21" r:id="rId20" xr:uid="{00000000-0004-0000-0300-000013000000}"/>
    <hyperlink ref="O22" r:id="rId21" xr:uid="{00000000-0004-0000-0300-000014000000}"/>
    <hyperlink ref="O23" r:id="rId22" xr:uid="{00000000-0004-0000-0300-000015000000}"/>
    <hyperlink ref="O24" r:id="rId23" xr:uid="{00000000-0004-0000-0300-000016000000}"/>
    <hyperlink ref="O25" r:id="rId24" xr:uid="{00000000-0004-0000-0300-000017000000}"/>
    <hyperlink ref="O26" r:id="rId25" xr:uid="{00000000-0004-0000-0300-000018000000}"/>
    <hyperlink ref="O27" r:id="rId26" xr:uid="{00000000-0004-0000-0300-000019000000}"/>
    <hyperlink ref="O28" r:id="rId27" xr:uid="{00000000-0004-0000-0300-00001A000000}"/>
    <hyperlink ref="O29" r:id="rId28" xr:uid="{00000000-0004-0000-0300-00001B000000}"/>
    <hyperlink ref="O30" r:id="rId29" xr:uid="{00000000-0004-0000-0300-00001C000000}"/>
    <hyperlink ref="O31" r:id="rId30" xr:uid="{00000000-0004-0000-0300-00001D000000}"/>
    <hyperlink ref="O32" r:id="rId31" xr:uid="{00000000-0004-0000-0300-00001E000000}"/>
    <hyperlink ref="O33" r:id="rId32" xr:uid="{00000000-0004-0000-0300-00001F000000}"/>
    <hyperlink ref="O34" r:id="rId33" xr:uid="{00000000-0004-0000-0300-000020000000}"/>
    <hyperlink ref="O35" r:id="rId34" xr:uid="{00000000-0004-0000-0300-000021000000}"/>
    <hyperlink ref="O36" r:id="rId35" xr:uid="{00000000-0004-0000-0300-000022000000}"/>
    <hyperlink ref="O37" r:id="rId36" xr:uid="{00000000-0004-0000-0300-000023000000}"/>
    <hyperlink ref="O38" r:id="rId37" xr:uid="{00000000-0004-0000-0300-000024000000}"/>
    <hyperlink ref="O39" r:id="rId38" xr:uid="{00000000-0004-0000-0300-000025000000}"/>
    <hyperlink ref="O40" r:id="rId39" xr:uid="{00000000-0004-0000-0300-000026000000}"/>
    <hyperlink ref="O41" r:id="rId40" xr:uid="{00000000-0004-0000-0300-000027000000}"/>
    <hyperlink ref="O42" r:id="rId41" xr:uid="{00000000-0004-0000-0300-000028000000}"/>
    <hyperlink ref="O43" r:id="rId42" xr:uid="{00000000-0004-0000-0300-000029000000}"/>
    <hyperlink ref="O44" r:id="rId43" xr:uid="{00000000-0004-0000-0300-00002A000000}"/>
    <hyperlink ref="O45" r:id="rId44" xr:uid="{00000000-0004-0000-0300-00002B000000}"/>
    <hyperlink ref="O46" r:id="rId45" xr:uid="{00000000-0004-0000-0300-00002C000000}"/>
    <hyperlink ref="O47" r:id="rId46" xr:uid="{00000000-0004-0000-0300-00002D000000}"/>
    <hyperlink ref="O48" r:id="rId47" xr:uid="{00000000-0004-0000-0300-00002E000000}"/>
    <hyperlink ref="O49" r:id="rId48" xr:uid="{00000000-0004-0000-0300-00002F000000}"/>
    <hyperlink ref="O50" r:id="rId49" xr:uid="{00000000-0004-0000-0300-000030000000}"/>
    <hyperlink ref="O51" r:id="rId50" xr:uid="{00000000-0004-0000-0300-000031000000}"/>
    <hyperlink ref="O52" r:id="rId51" xr:uid="{00000000-0004-0000-0300-000032000000}"/>
    <hyperlink ref="O53" r:id="rId52" xr:uid="{00000000-0004-0000-0300-000033000000}"/>
    <hyperlink ref="O54" r:id="rId53" xr:uid="{00000000-0004-0000-0300-000034000000}"/>
    <hyperlink ref="O55" r:id="rId54" xr:uid="{00000000-0004-0000-0300-000035000000}"/>
    <hyperlink ref="O56" r:id="rId55" xr:uid="{00000000-0004-0000-0300-000036000000}"/>
    <hyperlink ref="O57" r:id="rId56" xr:uid="{00000000-0004-0000-0300-000037000000}"/>
    <hyperlink ref="O58" r:id="rId57" xr:uid="{00000000-0004-0000-0300-000038000000}"/>
    <hyperlink ref="O59" r:id="rId58" xr:uid="{00000000-0004-0000-0300-000039000000}"/>
    <hyperlink ref="O60" r:id="rId59" xr:uid="{00000000-0004-0000-0300-00003A000000}"/>
    <hyperlink ref="O61" r:id="rId60" xr:uid="{00000000-0004-0000-0300-00003B000000}"/>
    <hyperlink ref="O62" r:id="rId61" xr:uid="{00000000-0004-0000-0300-00003C000000}"/>
    <hyperlink ref="O63" r:id="rId62" xr:uid="{00000000-0004-0000-0300-00003D000000}"/>
    <hyperlink ref="O64" r:id="rId63" xr:uid="{00000000-0004-0000-0300-00003E000000}"/>
    <hyperlink ref="O65" r:id="rId64" xr:uid="{00000000-0004-0000-0300-00003F000000}"/>
    <hyperlink ref="O66" r:id="rId65" xr:uid="{00000000-0004-0000-0300-000040000000}"/>
    <hyperlink ref="O67" r:id="rId66" xr:uid="{00000000-0004-0000-0300-000041000000}"/>
    <hyperlink ref="O68" r:id="rId67" xr:uid="{00000000-0004-0000-0300-000042000000}"/>
    <hyperlink ref="O69" r:id="rId68" xr:uid="{00000000-0004-0000-0300-000043000000}"/>
    <hyperlink ref="O70" r:id="rId69" xr:uid="{00000000-0004-0000-0300-000044000000}"/>
    <hyperlink ref="O71" r:id="rId70" xr:uid="{00000000-0004-0000-0300-000045000000}"/>
    <hyperlink ref="O72" r:id="rId71" xr:uid="{00000000-0004-0000-0300-000046000000}"/>
    <hyperlink ref="O73" r:id="rId72" xr:uid="{00000000-0004-0000-0300-000047000000}"/>
    <hyperlink ref="O74" r:id="rId73" xr:uid="{00000000-0004-0000-0300-000048000000}"/>
    <hyperlink ref="O75" r:id="rId74" xr:uid="{00000000-0004-0000-0300-000049000000}"/>
    <hyperlink ref="O76" r:id="rId75" xr:uid="{00000000-0004-0000-0300-00004A000000}"/>
    <hyperlink ref="O77" r:id="rId76" xr:uid="{00000000-0004-0000-0300-00004B000000}"/>
    <hyperlink ref="O78" r:id="rId77" xr:uid="{00000000-0004-0000-0300-00004C000000}"/>
    <hyperlink ref="O79" r:id="rId78" xr:uid="{00000000-0004-0000-0300-00004D000000}"/>
    <hyperlink ref="O80" r:id="rId79" xr:uid="{00000000-0004-0000-0300-00004E000000}"/>
    <hyperlink ref="O81" r:id="rId80" xr:uid="{00000000-0004-0000-0300-00004F000000}"/>
    <hyperlink ref="O82" r:id="rId81" xr:uid="{00000000-0004-0000-0300-000050000000}"/>
    <hyperlink ref="O83" r:id="rId82" xr:uid="{00000000-0004-0000-0300-000051000000}"/>
    <hyperlink ref="O84" r:id="rId83" xr:uid="{00000000-0004-0000-0300-000052000000}"/>
    <hyperlink ref="O85" r:id="rId84" xr:uid="{00000000-0004-0000-0300-000053000000}"/>
    <hyperlink ref="O86" r:id="rId85" xr:uid="{00000000-0004-0000-0300-000054000000}"/>
    <hyperlink ref="O87" r:id="rId86" xr:uid="{00000000-0004-0000-0300-000055000000}"/>
    <hyperlink ref="O88" r:id="rId87" xr:uid="{00000000-0004-0000-0300-000056000000}"/>
    <hyperlink ref="O89" r:id="rId88" xr:uid="{00000000-0004-0000-0300-000057000000}"/>
    <hyperlink ref="O90" r:id="rId89" xr:uid="{00000000-0004-0000-0300-000058000000}"/>
    <hyperlink ref="O91" r:id="rId90" xr:uid="{00000000-0004-0000-0300-000059000000}"/>
    <hyperlink ref="O92" r:id="rId91" xr:uid="{00000000-0004-0000-0300-00005A000000}"/>
    <hyperlink ref="O93" r:id="rId92" xr:uid="{00000000-0004-0000-0300-00005B000000}"/>
    <hyperlink ref="O94" r:id="rId93" xr:uid="{00000000-0004-0000-0300-00005C000000}"/>
    <hyperlink ref="O95" r:id="rId94" xr:uid="{00000000-0004-0000-0300-00005D000000}"/>
    <hyperlink ref="O96" r:id="rId95" xr:uid="{00000000-0004-0000-0300-00005E000000}"/>
    <hyperlink ref="O97" r:id="rId96" xr:uid="{00000000-0004-0000-0300-00005F000000}"/>
    <hyperlink ref="O98" r:id="rId97" xr:uid="{00000000-0004-0000-0300-000060000000}"/>
    <hyperlink ref="O99" r:id="rId98" xr:uid="{00000000-0004-0000-0300-000061000000}"/>
    <hyperlink ref="O100" r:id="rId99" xr:uid="{00000000-0004-0000-0300-000062000000}"/>
    <hyperlink ref="O101" r:id="rId100" xr:uid="{00000000-0004-0000-0300-000063000000}"/>
    <hyperlink ref="O102" r:id="rId101" xr:uid="{00000000-0004-0000-0300-000064000000}"/>
    <hyperlink ref="O103" r:id="rId102" xr:uid="{00000000-0004-0000-0300-000065000000}"/>
    <hyperlink ref="O104" r:id="rId103" xr:uid="{00000000-0004-0000-0300-000066000000}"/>
    <hyperlink ref="O105" r:id="rId104" xr:uid="{00000000-0004-0000-0300-000067000000}"/>
    <hyperlink ref="O106" r:id="rId105" xr:uid="{00000000-0004-0000-0300-000068000000}"/>
    <hyperlink ref="O107" r:id="rId106" xr:uid="{00000000-0004-0000-0300-000069000000}"/>
    <hyperlink ref="O108" r:id="rId107" xr:uid="{00000000-0004-0000-0300-00006A000000}"/>
    <hyperlink ref="O109" r:id="rId108" xr:uid="{00000000-0004-0000-0300-00006B000000}"/>
    <hyperlink ref="O110" r:id="rId109" xr:uid="{00000000-0004-0000-0300-00006C000000}"/>
    <hyperlink ref="O111" r:id="rId110" xr:uid="{00000000-0004-0000-0300-00006D000000}"/>
    <hyperlink ref="O112" r:id="rId111" xr:uid="{00000000-0004-0000-0300-00006E000000}"/>
    <hyperlink ref="O113" r:id="rId112" xr:uid="{00000000-0004-0000-0300-00006F000000}"/>
    <hyperlink ref="O114" r:id="rId113" xr:uid="{00000000-0004-0000-0300-000070000000}"/>
    <hyperlink ref="O115" r:id="rId114" xr:uid="{00000000-0004-0000-0300-000071000000}"/>
    <hyperlink ref="O116" r:id="rId115" xr:uid="{00000000-0004-0000-0300-000072000000}"/>
    <hyperlink ref="O117" r:id="rId116" xr:uid="{00000000-0004-0000-0300-000073000000}"/>
    <hyperlink ref="O118" r:id="rId117" xr:uid="{00000000-0004-0000-0300-000074000000}"/>
    <hyperlink ref="O119" r:id="rId118" xr:uid="{00000000-0004-0000-0300-000075000000}"/>
    <hyperlink ref="O120" r:id="rId119" xr:uid="{00000000-0004-0000-0300-000076000000}"/>
    <hyperlink ref="O121" r:id="rId120" xr:uid="{00000000-0004-0000-0300-000077000000}"/>
    <hyperlink ref="O122" r:id="rId121" xr:uid="{00000000-0004-0000-0300-000078000000}"/>
    <hyperlink ref="O123" r:id="rId122" xr:uid="{00000000-0004-0000-0300-000079000000}"/>
    <hyperlink ref="O124" r:id="rId123" xr:uid="{00000000-0004-0000-0300-00007A000000}"/>
    <hyperlink ref="O125" r:id="rId124" xr:uid="{00000000-0004-0000-0300-00007B000000}"/>
    <hyperlink ref="O126" r:id="rId125" xr:uid="{00000000-0004-0000-0300-00007C000000}"/>
    <hyperlink ref="O127" r:id="rId126" xr:uid="{00000000-0004-0000-0300-00007D000000}"/>
    <hyperlink ref="O128" r:id="rId127" xr:uid="{00000000-0004-0000-0300-00007E000000}"/>
    <hyperlink ref="O129" r:id="rId128" xr:uid="{00000000-0004-0000-0300-00007F000000}"/>
    <hyperlink ref="O130" r:id="rId129" xr:uid="{00000000-0004-0000-0300-000080000000}"/>
    <hyperlink ref="O131" r:id="rId130" xr:uid="{00000000-0004-0000-0300-000081000000}"/>
    <hyperlink ref="O132" r:id="rId131" xr:uid="{00000000-0004-0000-0300-000082000000}"/>
    <hyperlink ref="O133" r:id="rId132" xr:uid="{00000000-0004-0000-0300-000083000000}"/>
    <hyperlink ref="O134" r:id="rId133" xr:uid="{00000000-0004-0000-0300-000084000000}"/>
    <hyperlink ref="O135" r:id="rId134" xr:uid="{00000000-0004-0000-0300-000085000000}"/>
    <hyperlink ref="O136" r:id="rId135" xr:uid="{00000000-0004-0000-0300-000086000000}"/>
    <hyperlink ref="O137" r:id="rId136" xr:uid="{00000000-0004-0000-0300-000087000000}"/>
    <hyperlink ref="O138" r:id="rId137" xr:uid="{00000000-0004-0000-0300-000088000000}"/>
    <hyperlink ref="O139" r:id="rId138" xr:uid="{00000000-0004-0000-0300-000089000000}"/>
    <hyperlink ref="O140" r:id="rId139" xr:uid="{00000000-0004-0000-0300-00008A000000}"/>
    <hyperlink ref="O141" r:id="rId140" xr:uid="{00000000-0004-0000-0300-00008B000000}"/>
    <hyperlink ref="O142" r:id="rId141" xr:uid="{00000000-0004-0000-0300-00008C000000}"/>
    <hyperlink ref="O143" r:id="rId142" xr:uid="{00000000-0004-0000-0300-00008D000000}"/>
    <hyperlink ref="O144" r:id="rId143" xr:uid="{00000000-0004-0000-0300-00008E000000}"/>
    <hyperlink ref="O145" r:id="rId144" xr:uid="{00000000-0004-0000-0300-00008F000000}"/>
    <hyperlink ref="O146" r:id="rId145" xr:uid="{00000000-0004-0000-0300-000090000000}"/>
    <hyperlink ref="O147" r:id="rId146" xr:uid="{00000000-0004-0000-0300-000091000000}"/>
    <hyperlink ref="O148" r:id="rId147" xr:uid="{00000000-0004-0000-0300-000092000000}"/>
    <hyperlink ref="O149" r:id="rId148" xr:uid="{00000000-0004-0000-0300-000093000000}"/>
    <hyperlink ref="O150" r:id="rId149" xr:uid="{00000000-0004-0000-0300-000094000000}"/>
    <hyperlink ref="O151" r:id="rId150" xr:uid="{00000000-0004-0000-0300-000095000000}"/>
    <hyperlink ref="O152" r:id="rId151" xr:uid="{00000000-0004-0000-0300-000096000000}"/>
    <hyperlink ref="O153" r:id="rId152" xr:uid="{00000000-0004-0000-0300-000097000000}"/>
    <hyperlink ref="O154" r:id="rId153" xr:uid="{00000000-0004-0000-0300-000098000000}"/>
    <hyperlink ref="O155" r:id="rId154" xr:uid="{00000000-0004-0000-0300-000099000000}"/>
    <hyperlink ref="O156" r:id="rId155" xr:uid="{00000000-0004-0000-0300-00009A000000}"/>
    <hyperlink ref="O157" r:id="rId156" xr:uid="{00000000-0004-0000-0300-00009B000000}"/>
    <hyperlink ref="O158" r:id="rId157" xr:uid="{00000000-0004-0000-0300-00009C000000}"/>
    <hyperlink ref="O159" r:id="rId158" xr:uid="{00000000-0004-0000-0300-00009D000000}"/>
    <hyperlink ref="O160" r:id="rId159" xr:uid="{00000000-0004-0000-0300-00009E000000}"/>
    <hyperlink ref="O161" r:id="rId160" xr:uid="{00000000-0004-0000-0300-00009F000000}"/>
    <hyperlink ref="O162" r:id="rId161" xr:uid="{00000000-0004-0000-0300-0000A0000000}"/>
    <hyperlink ref="O163" r:id="rId162" xr:uid="{00000000-0004-0000-0300-0000A1000000}"/>
    <hyperlink ref="O164" r:id="rId163" xr:uid="{00000000-0004-0000-0300-0000A2000000}"/>
    <hyperlink ref="O165" r:id="rId164" xr:uid="{00000000-0004-0000-0300-0000A3000000}"/>
    <hyperlink ref="O166" r:id="rId165" xr:uid="{00000000-0004-0000-0300-0000A4000000}"/>
    <hyperlink ref="O167" r:id="rId166" xr:uid="{00000000-0004-0000-0300-0000A5000000}"/>
    <hyperlink ref="O168" r:id="rId167" xr:uid="{00000000-0004-0000-0300-0000A6000000}"/>
    <hyperlink ref="O169" r:id="rId168" xr:uid="{00000000-0004-0000-0300-0000A7000000}"/>
    <hyperlink ref="O170" r:id="rId169" xr:uid="{00000000-0004-0000-0300-0000A8000000}"/>
    <hyperlink ref="O171" r:id="rId170" xr:uid="{00000000-0004-0000-0300-0000A9000000}"/>
    <hyperlink ref="O172" r:id="rId171" xr:uid="{00000000-0004-0000-0300-0000AA000000}"/>
    <hyperlink ref="O173" r:id="rId172" xr:uid="{00000000-0004-0000-0300-0000AB000000}"/>
    <hyperlink ref="O174" r:id="rId173" xr:uid="{00000000-0004-0000-0300-0000AC000000}"/>
    <hyperlink ref="O175" r:id="rId174" xr:uid="{00000000-0004-0000-0300-0000AD000000}"/>
    <hyperlink ref="O176" r:id="rId175" xr:uid="{00000000-0004-0000-0300-0000AE000000}"/>
    <hyperlink ref="O177" r:id="rId176" xr:uid="{00000000-0004-0000-0300-0000AF000000}"/>
    <hyperlink ref="O178" r:id="rId177" xr:uid="{00000000-0004-0000-0300-0000B0000000}"/>
    <hyperlink ref="O179" r:id="rId178" xr:uid="{00000000-0004-0000-0300-0000B1000000}"/>
    <hyperlink ref="O180" r:id="rId179" xr:uid="{00000000-0004-0000-0300-0000B2000000}"/>
    <hyperlink ref="O181" r:id="rId180" xr:uid="{00000000-0004-0000-0300-0000B3000000}"/>
    <hyperlink ref="O182" r:id="rId181" xr:uid="{00000000-0004-0000-0300-0000B4000000}"/>
    <hyperlink ref="O183" r:id="rId182" xr:uid="{00000000-0004-0000-0300-0000B5000000}"/>
    <hyperlink ref="O184" r:id="rId183" xr:uid="{00000000-0004-0000-0300-0000B6000000}"/>
    <hyperlink ref="O185" r:id="rId184" xr:uid="{00000000-0004-0000-0300-0000B7000000}"/>
    <hyperlink ref="O186" r:id="rId185" xr:uid="{00000000-0004-0000-0300-0000B8000000}"/>
    <hyperlink ref="O187" r:id="rId186" xr:uid="{00000000-0004-0000-0300-0000B9000000}"/>
    <hyperlink ref="O188" r:id="rId187" xr:uid="{00000000-0004-0000-0300-0000BA000000}"/>
    <hyperlink ref="O189" r:id="rId188" xr:uid="{00000000-0004-0000-0300-0000BB000000}"/>
    <hyperlink ref="O190" r:id="rId189" xr:uid="{00000000-0004-0000-0300-0000BC000000}"/>
    <hyperlink ref="O191" r:id="rId190" xr:uid="{00000000-0004-0000-0300-0000BD000000}"/>
    <hyperlink ref="O192" r:id="rId191" xr:uid="{00000000-0004-0000-0300-0000BE000000}"/>
    <hyperlink ref="O193" r:id="rId192" xr:uid="{00000000-0004-0000-0300-0000BF000000}"/>
    <hyperlink ref="O194" r:id="rId193" xr:uid="{00000000-0004-0000-0300-0000C0000000}"/>
    <hyperlink ref="O195" r:id="rId194" xr:uid="{00000000-0004-0000-0300-0000C1000000}"/>
    <hyperlink ref="O196" r:id="rId195" xr:uid="{00000000-0004-0000-0300-0000C2000000}"/>
    <hyperlink ref="O197" r:id="rId196" xr:uid="{00000000-0004-0000-0300-0000C3000000}"/>
    <hyperlink ref="O198" r:id="rId197" xr:uid="{00000000-0004-0000-0300-0000C4000000}"/>
    <hyperlink ref="O199" r:id="rId198" xr:uid="{00000000-0004-0000-0300-0000C5000000}"/>
    <hyperlink ref="O200" r:id="rId199" xr:uid="{00000000-0004-0000-0300-0000C6000000}"/>
    <hyperlink ref="O201" r:id="rId200" xr:uid="{00000000-0004-0000-0300-0000C7000000}"/>
    <hyperlink ref="O202" r:id="rId201" xr:uid="{00000000-0004-0000-0300-0000C8000000}"/>
    <hyperlink ref="O203" r:id="rId202" xr:uid="{00000000-0004-0000-0300-0000C9000000}"/>
    <hyperlink ref="O204" r:id="rId203" xr:uid="{00000000-0004-0000-0300-0000CA000000}"/>
    <hyperlink ref="O205" r:id="rId204" xr:uid="{00000000-0004-0000-0300-0000CB000000}"/>
    <hyperlink ref="O206" r:id="rId205" xr:uid="{00000000-0004-0000-0300-0000CC000000}"/>
    <hyperlink ref="O207" r:id="rId206" xr:uid="{00000000-0004-0000-0300-0000CD000000}"/>
    <hyperlink ref="O208" r:id="rId207" xr:uid="{00000000-0004-0000-0300-0000CE000000}"/>
    <hyperlink ref="O209" r:id="rId208" xr:uid="{00000000-0004-0000-0300-0000CF000000}"/>
    <hyperlink ref="O210" r:id="rId209" xr:uid="{00000000-0004-0000-0300-0000D0000000}"/>
    <hyperlink ref="O211" r:id="rId210" xr:uid="{00000000-0004-0000-0300-0000D1000000}"/>
    <hyperlink ref="O212" r:id="rId211" xr:uid="{00000000-0004-0000-0300-0000D2000000}"/>
    <hyperlink ref="O213" r:id="rId212" xr:uid="{00000000-0004-0000-0300-0000D3000000}"/>
    <hyperlink ref="O214" r:id="rId213" xr:uid="{00000000-0004-0000-0300-0000D4000000}"/>
    <hyperlink ref="O215" r:id="rId214" xr:uid="{00000000-0004-0000-0300-0000D5000000}"/>
    <hyperlink ref="O216" r:id="rId215" xr:uid="{00000000-0004-0000-0300-0000D6000000}"/>
    <hyperlink ref="O217" r:id="rId216" xr:uid="{00000000-0004-0000-0300-0000D7000000}"/>
    <hyperlink ref="O218" r:id="rId217" xr:uid="{00000000-0004-0000-0300-0000D8000000}"/>
    <hyperlink ref="O219" r:id="rId218" xr:uid="{00000000-0004-0000-0300-0000D9000000}"/>
    <hyperlink ref="O220" r:id="rId219" xr:uid="{00000000-0004-0000-0300-0000DA000000}"/>
    <hyperlink ref="O221" r:id="rId220" xr:uid="{00000000-0004-0000-0300-0000DB000000}"/>
    <hyperlink ref="O222" r:id="rId221" xr:uid="{00000000-0004-0000-0300-0000DC000000}"/>
    <hyperlink ref="O223" r:id="rId222" xr:uid="{00000000-0004-0000-0300-0000DD000000}"/>
    <hyperlink ref="O224" r:id="rId223" xr:uid="{00000000-0004-0000-0300-0000DE000000}"/>
    <hyperlink ref="O225" r:id="rId224" xr:uid="{00000000-0004-0000-0300-0000DF000000}"/>
    <hyperlink ref="O226" r:id="rId225" xr:uid="{00000000-0004-0000-0300-0000E0000000}"/>
    <hyperlink ref="O227" r:id="rId226" xr:uid="{00000000-0004-0000-0300-0000E1000000}"/>
    <hyperlink ref="O228" r:id="rId227" xr:uid="{00000000-0004-0000-0300-0000E2000000}"/>
    <hyperlink ref="O229" r:id="rId228" xr:uid="{00000000-0004-0000-0300-0000E3000000}"/>
    <hyperlink ref="O230" r:id="rId229" xr:uid="{00000000-0004-0000-0300-0000E4000000}"/>
    <hyperlink ref="O231" r:id="rId230" xr:uid="{00000000-0004-0000-0300-0000E5000000}"/>
    <hyperlink ref="O232" r:id="rId231" xr:uid="{00000000-0004-0000-0300-0000E6000000}"/>
    <hyperlink ref="O233" r:id="rId232" xr:uid="{00000000-0004-0000-0300-0000E7000000}"/>
    <hyperlink ref="O234" r:id="rId233" xr:uid="{00000000-0004-0000-0300-0000E8000000}"/>
    <hyperlink ref="O235" r:id="rId234" xr:uid="{00000000-0004-0000-0300-0000E9000000}"/>
    <hyperlink ref="O236" r:id="rId235" xr:uid="{00000000-0004-0000-0300-0000EA000000}"/>
    <hyperlink ref="O237" r:id="rId236" xr:uid="{00000000-0004-0000-0300-0000EB000000}"/>
    <hyperlink ref="O238" r:id="rId237" xr:uid="{00000000-0004-0000-0300-0000EC000000}"/>
    <hyperlink ref="O239" r:id="rId238" xr:uid="{00000000-0004-0000-0300-0000ED000000}"/>
    <hyperlink ref="O240" r:id="rId239" xr:uid="{00000000-0004-0000-0300-0000EE000000}"/>
    <hyperlink ref="O241" r:id="rId240" xr:uid="{00000000-0004-0000-0300-0000EF000000}"/>
    <hyperlink ref="O242" r:id="rId241" xr:uid="{00000000-0004-0000-0300-0000F0000000}"/>
    <hyperlink ref="O243" r:id="rId242" xr:uid="{00000000-0004-0000-0300-0000F1000000}"/>
    <hyperlink ref="O244" r:id="rId243" xr:uid="{00000000-0004-0000-0300-0000F2000000}"/>
    <hyperlink ref="O245" r:id="rId244" xr:uid="{00000000-0004-0000-0300-0000F3000000}"/>
    <hyperlink ref="O246" r:id="rId245" xr:uid="{00000000-0004-0000-0300-0000F4000000}"/>
    <hyperlink ref="O247" r:id="rId246" xr:uid="{00000000-0004-0000-0300-0000F5000000}"/>
    <hyperlink ref="O248" r:id="rId247" xr:uid="{00000000-0004-0000-0300-0000F6000000}"/>
    <hyperlink ref="O249" r:id="rId248" xr:uid="{00000000-0004-0000-0300-0000F7000000}"/>
    <hyperlink ref="O250" r:id="rId249" xr:uid="{00000000-0004-0000-0300-0000F8000000}"/>
    <hyperlink ref="O251" r:id="rId250" xr:uid="{00000000-0004-0000-0300-0000F9000000}"/>
    <hyperlink ref="O252" r:id="rId251" xr:uid="{00000000-0004-0000-0300-0000FA000000}"/>
    <hyperlink ref="O253" r:id="rId252" xr:uid="{00000000-0004-0000-0300-0000FB000000}"/>
    <hyperlink ref="O254" r:id="rId253" xr:uid="{00000000-0004-0000-0300-0000FC000000}"/>
    <hyperlink ref="O255" r:id="rId254" xr:uid="{00000000-0004-0000-0300-0000FD000000}"/>
    <hyperlink ref="O256" r:id="rId255" xr:uid="{00000000-0004-0000-0300-0000FE000000}"/>
    <hyperlink ref="O257" r:id="rId256" xr:uid="{00000000-0004-0000-0300-0000FF000000}"/>
    <hyperlink ref="O258" r:id="rId257" xr:uid="{00000000-0004-0000-0300-000000010000}"/>
    <hyperlink ref="O259" r:id="rId258" xr:uid="{00000000-0004-0000-0300-000001010000}"/>
    <hyperlink ref="O260" r:id="rId259" xr:uid="{00000000-0004-0000-0300-000002010000}"/>
    <hyperlink ref="O261" r:id="rId260" xr:uid="{00000000-0004-0000-0300-000003010000}"/>
    <hyperlink ref="O262" r:id="rId261" xr:uid="{00000000-0004-0000-0300-000004010000}"/>
    <hyperlink ref="O263" r:id="rId262" xr:uid="{00000000-0004-0000-0300-000005010000}"/>
    <hyperlink ref="O264" r:id="rId263" xr:uid="{00000000-0004-0000-0300-000006010000}"/>
    <hyperlink ref="O265" r:id="rId264" xr:uid="{00000000-0004-0000-0300-000007010000}"/>
    <hyperlink ref="O266" r:id="rId265" xr:uid="{00000000-0004-0000-0300-000008010000}"/>
    <hyperlink ref="O267" r:id="rId266" xr:uid="{00000000-0004-0000-0300-000009010000}"/>
    <hyperlink ref="O268" r:id="rId267" xr:uid="{00000000-0004-0000-0300-00000A010000}"/>
    <hyperlink ref="O269" r:id="rId268" xr:uid="{00000000-0004-0000-0300-00000B010000}"/>
    <hyperlink ref="O270" r:id="rId269" xr:uid="{00000000-0004-0000-0300-00000C010000}"/>
    <hyperlink ref="O271" r:id="rId270" xr:uid="{00000000-0004-0000-0300-00000D010000}"/>
    <hyperlink ref="O272" r:id="rId271" xr:uid="{00000000-0004-0000-0300-00000E010000}"/>
    <hyperlink ref="O273" r:id="rId272" xr:uid="{00000000-0004-0000-0300-00000F010000}"/>
    <hyperlink ref="O274" r:id="rId273" xr:uid="{00000000-0004-0000-0300-000010010000}"/>
    <hyperlink ref="O275" r:id="rId274" xr:uid="{00000000-0004-0000-0300-000011010000}"/>
    <hyperlink ref="O276" r:id="rId275" xr:uid="{00000000-0004-0000-0300-000012010000}"/>
    <hyperlink ref="O277" r:id="rId276" xr:uid="{00000000-0004-0000-0300-000013010000}"/>
    <hyperlink ref="O278" r:id="rId277" xr:uid="{00000000-0004-0000-0300-000014010000}"/>
    <hyperlink ref="O279" r:id="rId278" xr:uid="{00000000-0004-0000-0300-000015010000}"/>
    <hyperlink ref="O280" r:id="rId279" xr:uid="{00000000-0004-0000-0300-000016010000}"/>
    <hyperlink ref="O281" r:id="rId280" xr:uid="{00000000-0004-0000-0300-000017010000}"/>
    <hyperlink ref="O282" r:id="rId281" xr:uid="{00000000-0004-0000-0300-000018010000}"/>
    <hyperlink ref="O283" r:id="rId282" xr:uid="{00000000-0004-0000-0300-000019010000}"/>
    <hyperlink ref="O284" r:id="rId283" xr:uid="{00000000-0004-0000-0300-00001A010000}"/>
    <hyperlink ref="O285" r:id="rId284" xr:uid="{00000000-0004-0000-0300-00001B010000}"/>
    <hyperlink ref="O286" r:id="rId285" xr:uid="{00000000-0004-0000-0300-00001C010000}"/>
    <hyperlink ref="O287" r:id="rId286" xr:uid="{00000000-0004-0000-0300-00001D010000}"/>
    <hyperlink ref="O288" r:id="rId287" xr:uid="{00000000-0004-0000-0300-00001E010000}"/>
    <hyperlink ref="O289" r:id="rId288" xr:uid="{00000000-0004-0000-0300-00001F010000}"/>
    <hyperlink ref="O290" r:id="rId289" xr:uid="{00000000-0004-0000-0300-000020010000}"/>
    <hyperlink ref="O291" r:id="rId290" xr:uid="{00000000-0004-0000-0300-000021010000}"/>
    <hyperlink ref="O292" r:id="rId291" xr:uid="{00000000-0004-0000-0300-000022010000}"/>
    <hyperlink ref="O293" r:id="rId292" xr:uid="{00000000-0004-0000-0300-000023010000}"/>
    <hyperlink ref="O294" r:id="rId293" xr:uid="{00000000-0004-0000-0300-000024010000}"/>
    <hyperlink ref="O295" r:id="rId294" xr:uid="{00000000-0004-0000-0300-000025010000}"/>
    <hyperlink ref="O296" r:id="rId295" xr:uid="{00000000-0004-0000-0300-000026010000}"/>
    <hyperlink ref="O297" r:id="rId296" xr:uid="{00000000-0004-0000-0300-000027010000}"/>
    <hyperlink ref="O298" r:id="rId297" xr:uid="{00000000-0004-0000-0300-000028010000}"/>
    <hyperlink ref="O299" r:id="rId298" xr:uid="{00000000-0004-0000-0300-000029010000}"/>
    <hyperlink ref="O300" r:id="rId299" xr:uid="{00000000-0004-0000-0300-00002A010000}"/>
    <hyperlink ref="O301" r:id="rId300" xr:uid="{00000000-0004-0000-0300-00002B010000}"/>
    <hyperlink ref="O302" r:id="rId301" xr:uid="{00000000-0004-0000-0300-00002C010000}"/>
    <hyperlink ref="O303" r:id="rId302" xr:uid="{00000000-0004-0000-0300-00002D010000}"/>
    <hyperlink ref="O304" r:id="rId303" xr:uid="{00000000-0004-0000-0300-00002E010000}"/>
    <hyperlink ref="O305" r:id="rId304" xr:uid="{00000000-0004-0000-0300-00002F010000}"/>
    <hyperlink ref="O306" r:id="rId305" xr:uid="{00000000-0004-0000-0300-000030010000}"/>
    <hyperlink ref="O307" r:id="rId306" xr:uid="{00000000-0004-0000-0300-000031010000}"/>
    <hyperlink ref="O308" r:id="rId307" xr:uid="{00000000-0004-0000-0300-000032010000}"/>
    <hyperlink ref="O309" r:id="rId308" xr:uid="{00000000-0004-0000-0300-000033010000}"/>
    <hyperlink ref="O310" r:id="rId309" xr:uid="{00000000-0004-0000-0300-000034010000}"/>
    <hyperlink ref="O311" r:id="rId310" xr:uid="{00000000-0004-0000-0300-000035010000}"/>
    <hyperlink ref="O312" r:id="rId311" xr:uid="{00000000-0004-0000-0300-000036010000}"/>
    <hyperlink ref="O313" r:id="rId312" xr:uid="{00000000-0004-0000-0300-000037010000}"/>
    <hyperlink ref="O314" r:id="rId313" xr:uid="{00000000-0004-0000-0300-000038010000}"/>
    <hyperlink ref="O315" r:id="rId314" xr:uid="{00000000-0004-0000-0300-000039010000}"/>
    <hyperlink ref="O316" r:id="rId315" xr:uid="{00000000-0004-0000-0300-00003A010000}"/>
    <hyperlink ref="O317" r:id="rId316" xr:uid="{00000000-0004-0000-0300-00003B010000}"/>
    <hyperlink ref="O318" r:id="rId317" xr:uid="{00000000-0004-0000-0300-00003C010000}"/>
    <hyperlink ref="O319" r:id="rId318" xr:uid="{00000000-0004-0000-0300-00003D010000}"/>
    <hyperlink ref="O320" r:id="rId319" xr:uid="{00000000-0004-0000-0300-00003E010000}"/>
    <hyperlink ref="O321" r:id="rId320" xr:uid="{00000000-0004-0000-0300-00003F010000}"/>
    <hyperlink ref="O322" r:id="rId321" xr:uid="{00000000-0004-0000-0300-000040010000}"/>
    <hyperlink ref="O323" r:id="rId322" xr:uid="{00000000-0004-0000-0300-000041010000}"/>
    <hyperlink ref="O324" r:id="rId323" xr:uid="{00000000-0004-0000-0300-000042010000}"/>
    <hyperlink ref="O325" r:id="rId324" xr:uid="{00000000-0004-0000-0300-000043010000}"/>
    <hyperlink ref="O326" r:id="rId325" xr:uid="{00000000-0004-0000-0300-000044010000}"/>
    <hyperlink ref="O327" r:id="rId326" xr:uid="{00000000-0004-0000-0300-000045010000}"/>
    <hyperlink ref="O328" r:id="rId327" xr:uid="{00000000-0004-0000-0300-000046010000}"/>
    <hyperlink ref="O329" r:id="rId328" xr:uid="{00000000-0004-0000-0300-000047010000}"/>
    <hyperlink ref="O330" r:id="rId329" xr:uid="{00000000-0004-0000-0300-000048010000}"/>
    <hyperlink ref="O331" r:id="rId330" xr:uid="{00000000-0004-0000-0300-000049010000}"/>
    <hyperlink ref="O332" r:id="rId331" xr:uid="{00000000-0004-0000-0300-00004A010000}"/>
    <hyperlink ref="O333" r:id="rId332" xr:uid="{00000000-0004-0000-0300-00004B010000}"/>
    <hyperlink ref="O334" r:id="rId333" xr:uid="{00000000-0004-0000-0300-00004C010000}"/>
    <hyperlink ref="O335" r:id="rId334" xr:uid="{00000000-0004-0000-0300-00004D010000}"/>
    <hyperlink ref="O336" r:id="rId335" xr:uid="{00000000-0004-0000-0300-00004E010000}"/>
    <hyperlink ref="O337" r:id="rId336" xr:uid="{00000000-0004-0000-0300-00004F010000}"/>
    <hyperlink ref="O338" r:id="rId337" xr:uid="{00000000-0004-0000-0300-000050010000}"/>
    <hyperlink ref="O339" r:id="rId338" xr:uid="{00000000-0004-0000-0300-000051010000}"/>
    <hyperlink ref="O340" r:id="rId339" xr:uid="{00000000-0004-0000-0300-000052010000}"/>
    <hyperlink ref="O341" r:id="rId340" xr:uid="{00000000-0004-0000-0300-000053010000}"/>
    <hyperlink ref="O342" r:id="rId341" xr:uid="{00000000-0004-0000-0300-000054010000}"/>
    <hyperlink ref="O343" r:id="rId342" xr:uid="{00000000-0004-0000-0300-000055010000}"/>
    <hyperlink ref="O344" r:id="rId343" xr:uid="{00000000-0004-0000-0300-000056010000}"/>
    <hyperlink ref="O345" r:id="rId344" xr:uid="{00000000-0004-0000-0300-000057010000}"/>
    <hyperlink ref="O346" r:id="rId345" xr:uid="{00000000-0004-0000-0300-000058010000}"/>
    <hyperlink ref="O347" r:id="rId346" xr:uid="{00000000-0004-0000-0300-000059010000}"/>
    <hyperlink ref="O348" r:id="rId347" xr:uid="{00000000-0004-0000-0300-00005A010000}"/>
    <hyperlink ref="O349" r:id="rId348" xr:uid="{00000000-0004-0000-0300-00005B010000}"/>
    <hyperlink ref="O350" r:id="rId349" xr:uid="{00000000-0004-0000-0300-00005C010000}"/>
    <hyperlink ref="O351" r:id="rId350" xr:uid="{00000000-0004-0000-0300-00005D010000}"/>
    <hyperlink ref="O352" r:id="rId351" xr:uid="{00000000-0004-0000-0300-00005E010000}"/>
    <hyperlink ref="O353" r:id="rId352" xr:uid="{00000000-0004-0000-0300-00005F010000}"/>
    <hyperlink ref="O354" r:id="rId353" xr:uid="{00000000-0004-0000-0300-000060010000}"/>
    <hyperlink ref="O355" r:id="rId354" xr:uid="{00000000-0004-0000-0300-000061010000}"/>
    <hyperlink ref="O356" r:id="rId355" xr:uid="{00000000-0004-0000-0300-000062010000}"/>
    <hyperlink ref="O357" r:id="rId356" xr:uid="{00000000-0004-0000-0300-000063010000}"/>
    <hyperlink ref="O358" r:id="rId357" xr:uid="{00000000-0004-0000-0300-000064010000}"/>
    <hyperlink ref="O359" r:id="rId358" xr:uid="{00000000-0004-0000-0300-000065010000}"/>
    <hyperlink ref="O360" r:id="rId359" xr:uid="{00000000-0004-0000-0300-000066010000}"/>
    <hyperlink ref="O361" r:id="rId360" xr:uid="{00000000-0004-0000-0300-000067010000}"/>
    <hyperlink ref="O362" r:id="rId361" xr:uid="{00000000-0004-0000-0300-000068010000}"/>
    <hyperlink ref="O363" r:id="rId362" xr:uid="{00000000-0004-0000-0300-000069010000}"/>
    <hyperlink ref="O364" r:id="rId363" xr:uid="{00000000-0004-0000-0300-00006A010000}"/>
    <hyperlink ref="O365" r:id="rId364" xr:uid="{00000000-0004-0000-0300-00006B010000}"/>
    <hyperlink ref="O366" r:id="rId365" xr:uid="{00000000-0004-0000-0300-00006C010000}"/>
    <hyperlink ref="O367" r:id="rId366" xr:uid="{00000000-0004-0000-0300-00006D010000}"/>
    <hyperlink ref="O368" r:id="rId367" xr:uid="{00000000-0004-0000-0300-00006E010000}"/>
    <hyperlink ref="O369" r:id="rId368" xr:uid="{00000000-0004-0000-0300-00006F010000}"/>
    <hyperlink ref="O370" r:id="rId369" xr:uid="{00000000-0004-0000-0300-000070010000}"/>
    <hyperlink ref="O371" r:id="rId370" xr:uid="{00000000-0004-0000-0300-000071010000}"/>
    <hyperlink ref="O372" r:id="rId371" xr:uid="{00000000-0004-0000-0300-000072010000}"/>
    <hyperlink ref="O373" r:id="rId372" xr:uid="{00000000-0004-0000-0300-000073010000}"/>
    <hyperlink ref="O374" r:id="rId373" xr:uid="{00000000-0004-0000-0300-000074010000}"/>
    <hyperlink ref="O375" r:id="rId374" xr:uid="{00000000-0004-0000-0300-000075010000}"/>
    <hyperlink ref="O376" r:id="rId375" xr:uid="{00000000-0004-0000-0300-000076010000}"/>
    <hyperlink ref="O377" r:id="rId376" xr:uid="{00000000-0004-0000-0300-000077010000}"/>
    <hyperlink ref="O378" r:id="rId377" xr:uid="{00000000-0004-0000-0300-000078010000}"/>
    <hyperlink ref="O379" r:id="rId378" xr:uid="{00000000-0004-0000-0300-000079010000}"/>
    <hyperlink ref="O380" r:id="rId379" xr:uid="{00000000-0004-0000-0300-00007A010000}"/>
    <hyperlink ref="O381" r:id="rId380" xr:uid="{00000000-0004-0000-0300-00007B010000}"/>
    <hyperlink ref="O382" r:id="rId381" xr:uid="{00000000-0004-0000-0300-00007C010000}"/>
    <hyperlink ref="O383" r:id="rId382" xr:uid="{00000000-0004-0000-0300-00007D010000}"/>
    <hyperlink ref="O384" r:id="rId383" xr:uid="{00000000-0004-0000-0300-00007E010000}"/>
    <hyperlink ref="O385" r:id="rId384" xr:uid="{00000000-0004-0000-0300-00007F010000}"/>
    <hyperlink ref="O386" r:id="rId385" xr:uid="{00000000-0004-0000-0300-000080010000}"/>
    <hyperlink ref="O387" r:id="rId386" xr:uid="{00000000-0004-0000-0300-000081010000}"/>
    <hyperlink ref="O388" r:id="rId387" xr:uid="{00000000-0004-0000-0300-000082010000}"/>
    <hyperlink ref="O389" r:id="rId388" xr:uid="{00000000-0004-0000-0300-000083010000}"/>
    <hyperlink ref="O390" r:id="rId389" xr:uid="{00000000-0004-0000-0300-000084010000}"/>
    <hyperlink ref="O391" r:id="rId390" xr:uid="{00000000-0004-0000-0300-000085010000}"/>
    <hyperlink ref="O392" r:id="rId391" xr:uid="{00000000-0004-0000-0300-000086010000}"/>
    <hyperlink ref="O393" r:id="rId392" xr:uid="{00000000-0004-0000-0300-000087010000}"/>
    <hyperlink ref="O394" r:id="rId393" xr:uid="{00000000-0004-0000-0300-000088010000}"/>
    <hyperlink ref="O395" r:id="rId394" xr:uid="{00000000-0004-0000-0300-000089010000}"/>
    <hyperlink ref="O396" r:id="rId395" xr:uid="{00000000-0004-0000-0300-00008A010000}"/>
    <hyperlink ref="O397" r:id="rId396" xr:uid="{00000000-0004-0000-0300-00008B010000}"/>
    <hyperlink ref="O398" r:id="rId397" xr:uid="{00000000-0004-0000-0300-00008C010000}"/>
    <hyperlink ref="O399" r:id="rId398" xr:uid="{00000000-0004-0000-0300-00008D010000}"/>
    <hyperlink ref="O400" r:id="rId399" xr:uid="{00000000-0004-0000-0300-00008E010000}"/>
    <hyperlink ref="O401" r:id="rId400" xr:uid="{00000000-0004-0000-0300-00008F010000}"/>
    <hyperlink ref="O402" r:id="rId401" xr:uid="{00000000-0004-0000-0300-000090010000}"/>
    <hyperlink ref="O403" r:id="rId402" xr:uid="{00000000-0004-0000-0300-000091010000}"/>
    <hyperlink ref="O404" r:id="rId403" xr:uid="{00000000-0004-0000-0300-000092010000}"/>
    <hyperlink ref="O405" r:id="rId404" xr:uid="{00000000-0004-0000-0300-000093010000}"/>
    <hyperlink ref="O406" r:id="rId405" xr:uid="{00000000-0004-0000-0300-000094010000}"/>
    <hyperlink ref="O407" r:id="rId406" xr:uid="{00000000-0004-0000-0300-000095010000}"/>
    <hyperlink ref="O408" r:id="rId407" xr:uid="{00000000-0004-0000-0300-000096010000}"/>
    <hyperlink ref="O409" r:id="rId408" xr:uid="{00000000-0004-0000-0300-000097010000}"/>
    <hyperlink ref="O410" r:id="rId409" xr:uid="{00000000-0004-0000-0300-000098010000}"/>
    <hyperlink ref="O411" r:id="rId410" xr:uid="{00000000-0004-0000-0300-000099010000}"/>
    <hyperlink ref="O412" r:id="rId411" xr:uid="{00000000-0004-0000-0300-00009A010000}"/>
    <hyperlink ref="O413" r:id="rId412" xr:uid="{00000000-0004-0000-0300-00009B010000}"/>
    <hyperlink ref="O414" r:id="rId413" xr:uid="{00000000-0004-0000-0300-00009C010000}"/>
    <hyperlink ref="O415" r:id="rId414" xr:uid="{00000000-0004-0000-0300-00009D010000}"/>
    <hyperlink ref="O416" r:id="rId415" xr:uid="{00000000-0004-0000-0300-00009E01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40" customWidth="1"/>
    <col min="4" max="4" width="36" customWidth="1"/>
    <col min="5" max="5" width="28" customWidth="1"/>
    <col min="6" max="6" width="15" customWidth="1"/>
    <col min="7" max="7" width="12" customWidth="1"/>
  </cols>
  <sheetData>
    <row r="1" spans="1:7" ht="21" x14ac:dyDescent="0.4">
      <c r="A1" s="1" t="s">
        <v>2034</v>
      </c>
    </row>
    <row r="2" spans="1:7" x14ac:dyDescent="0.3">
      <c r="A2" s="2" t="s">
        <v>2035</v>
      </c>
    </row>
    <row r="4" spans="1:7" ht="27.6" x14ac:dyDescent="0.3">
      <c r="A4" s="5" t="s">
        <v>49</v>
      </c>
      <c r="B4" s="5" t="s">
        <v>77</v>
      </c>
      <c r="C4" s="5" t="s">
        <v>2036</v>
      </c>
      <c r="D4" s="5" t="s">
        <v>81</v>
      </c>
      <c r="E4" s="5" t="s">
        <v>82</v>
      </c>
      <c r="F4" s="5" t="s">
        <v>84</v>
      </c>
      <c r="G4" s="5" t="s">
        <v>90</v>
      </c>
    </row>
    <row r="5" spans="1:7" x14ac:dyDescent="0.3">
      <c r="A5" s="9" t="s">
        <v>50</v>
      </c>
      <c r="B5" s="9" t="s">
        <v>2037</v>
      </c>
      <c r="C5" s="9" t="s">
        <v>2038</v>
      </c>
      <c r="D5" s="9" t="s">
        <v>2039</v>
      </c>
      <c r="E5" s="9" t="s">
        <v>2040</v>
      </c>
      <c r="F5" s="9"/>
      <c r="G5" s="9" t="s">
        <v>2041</v>
      </c>
    </row>
    <row r="6" spans="1:7" x14ac:dyDescent="0.3">
      <c r="A6" s="9" t="s">
        <v>51</v>
      </c>
      <c r="B6" s="9" t="s">
        <v>2042</v>
      </c>
      <c r="C6" s="9" t="s">
        <v>2043</v>
      </c>
      <c r="D6" s="9" t="s">
        <v>2044</v>
      </c>
      <c r="E6" s="9" t="s">
        <v>962</v>
      </c>
      <c r="F6" s="9"/>
      <c r="G6" s="9" t="s">
        <v>2045</v>
      </c>
    </row>
    <row r="7" spans="1:7" x14ac:dyDescent="0.3">
      <c r="A7" s="9" t="s">
        <v>51</v>
      </c>
      <c r="B7" s="9" t="s">
        <v>2046</v>
      </c>
      <c r="C7" s="9" t="s">
        <v>2043</v>
      </c>
      <c r="D7" s="9" t="s">
        <v>2047</v>
      </c>
      <c r="E7" s="9" t="s">
        <v>2048</v>
      </c>
      <c r="F7" s="9" t="s">
        <v>2049</v>
      </c>
      <c r="G7" s="9" t="s">
        <v>2050</v>
      </c>
    </row>
    <row r="8" spans="1:7" x14ac:dyDescent="0.3">
      <c r="A8" s="9" t="s">
        <v>68</v>
      </c>
      <c r="B8" s="9" t="s">
        <v>2051</v>
      </c>
      <c r="C8" s="9" t="s">
        <v>2052</v>
      </c>
      <c r="D8" s="9" t="s">
        <v>2053</v>
      </c>
      <c r="E8" s="9" t="s">
        <v>1041</v>
      </c>
      <c r="F8" s="9" t="s">
        <v>2054</v>
      </c>
      <c r="G8" s="9" t="s">
        <v>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Léeme</vt:lpstr>
      <vt:lpstr>Resumen</vt:lpstr>
      <vt:lpstr>Por municipio</vt:lpstr>
      <vt:lpstr>Listado</vt:lpstr>
      <vt:lpstr>Otras posibles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Lavanderías y tintorerías del territorio</dc:title>
  <dc:creator>Nazmelia</dc:creator>
  <cp:lastModifiedBy>Admin</cp:lastModifiedBy>
  <dcterms:created xsi:type="dcterms:W3CDTF">2026-10-17T21:51:20Z</dcterms:created>
  <dcterms:modified xsi:type="dcterms:W3CDTF">2026-10-17T21:51:23Z</dcterms:modified>
</cp:coreProperties>
</file>